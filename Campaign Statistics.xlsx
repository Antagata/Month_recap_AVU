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c8cca171f469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Campaign Statistics" sheetId="1" state="visible" r:id="R842c2f36846743e2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dd/mm/yy\ hh:mm:ss;@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" fontId="0" fillId="0" borderId="0" xfId="0" applyNumberFormat="1"/>
    <x:xf numFmtId="164" fontId="0" fillId="0" borderId="0" xfId="0" applyNumberFormat="1"/>
    <x:xf numFmtId="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db221ffeb64443" /><Relationship Type="http://schemas.openxmlformats.org/officeDocument/2006/relationships/worksheet" Target="/xl/worksheets/sheet2.xml" Id="R842c2f36846743e2" /></Relationships>
</file>

<file path=xl/tables/table1.xml><?xml version="1.0" encoding="utf-8"?>
<x:table xmlns:x="http://schemas.openxmlformats.org/spreadsheetml/2006/main" id="1" name="Table1" displayName="Table1" ref="A1:W128" totalsRowShown="0">
  <x:autoFilter ref="A1:W128"/>
  <x:tableColumns count="23">
    <x:tableColumn id="1" name="Date View"/>
    <x:tableColumn id="2" name="Scheduled DateTime"/>
    <x:tableColumn id="3" name="CampaignStatisticsCalculationLbl"/>
    <x:tableColumn id="4" name="UpdatingStatisticTxt"/>
    <x:tableColumn id="5" name="Campaign No. "/>
    <x:tableColumn id="6" name="Description"/>
    <x:tableColumn id="7" name="Type"/>
    <x:tableColumn id="8" name="Sub-Type"/>
    <x:tableColumn id="9" name="Shortage"/>
    <x:tableColumn id="10" name="Scheduled DateTime1"/>
    <x:tableColumn id="11" name="Related Campaigns"/>
    <x:tableColumn id="12" name="Main Wine No."/>
    <x:tableColumn id="13" name="Main Wine Name"/>
    <x:tableColumn id="14" name="Main Item No."/>
    <x:tableColumn id="15" name="Main Bottle Price (LCY)"/>
    <x:tableColumn id="16" name="Vintage Code"/>
    <x:tableColumn id="17" name="Wine Producer Name"/>
    <x:tableColumn id="18" name="Multiple wines"/>
    <x:tableColumn id="19" name="Email Sent"/>
    <x:tableColumn id="20" name="Total Unique Customers Bought"/>
    <x:tableColumn id="21" name="Conversion Rate %"/>
    <x:tableColumn id="22" name="Total Sales Amount (LCY)"/>
    <x:tableColumn id="23" name="Delayed Sending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1.73" bestFit="1" customWidth="1"/>
    <x:col min="2" max="2" width="20.82" bestFit="1" customWidth="1"/>
    <x:col min="3" max="3" width="31.53" bestFit="1" customWidth="1"/>
    <x:col min="4" max="4" width="20.45" bestFit="1" customWidth="1"/>
    <x:col min="5" max="5" width="15.52" bestFit="1" customWidth="1"/>
    <x:col min="6" max="6" width="12.78" bestFit="1" customWidth="1"/>
    <x:col min="7" max="7" width="6.98" bestFit="1" customWidth="1"/>
    <x:col min="8" max="8" width="10.9" bestFit="1" customWidth="1"/>
    <x:col min="9" max="9" width="10.61" bestFit="1" customWidth="1"/>
    <x:col min="10" max="10" width="21.92" bestFit="1" customWidth="1"/>
    <x:col min="11" max="11" width="19.51" bestFit="1" customWidth="1"/>
    <x:col min="12" max="12" width="15.93" bestFit="1" customWidth="1"/>
    <x:col min="13" max="13" width="18.08" bestFit="1" customWidth="1"/>
    <x:col min="14" max="14" width="15.37" bestFit="1" customWidth="1"/>
    <x:col min="15" max="15" width="22.82" bestFit="1" customWidth="1"/>
    <x:col min="16" max="16" width="14.43" bestFit="1" customWidth="1"/>
    <x:col min="17" max="17" width="21.58" bestFit="1" customWidth="1"/>
    <x:col min="18" max="18" width="15.72" bestFit="1" customWidth="1"/>
    <x:col min="19" max="19" width="11.96" bestFit="1" customWidth="1"/>
    <x:col min="20" max="20" width="30.71" bestFit="1" customWidth="1"/>
    <x:col min="21" max="21" width="19.1" bestFit="1" customWidth="1"/>
    <x:col min="22" max="22" width="24.61" bestFit="1" customWidth="1"/>
    <x:col min="23" max="23" width="17.33" bestFit="1" customWidth="1"/>
  </x:cols>
  <x:sheetData>
    <x:row r="1">
      <x:c r="A1" s="1" t="inlineStr">
        <x:is>
          <x:t xml:space="preserve">Date View</x:t>
        </x:is>
      </x:c>
      <x:c r="B1" s="1" t="inlineStr">
        <x:is>
          <x:t xml:space="preserve">Scheduled DateTime</x:t>
        </x:is>
      </x:c>
      <x:c r="C1" s="1" t="inlineStr">
        <x:is>
          <x:t xml:space="preserve">CampaignStatisticsCalculationLbl</x:t>
        </x:is>
      </x:c>
      <x:c r="D1" s="1" t="inlineStr">
        <x:is>
          <x:t xml:space="preserve">UpdatingStatisticTxt</x:t>
        </x:is>
      </x:c>
      <x:c r="E1" s="1" t="inlineStr">
        <x:is>
          <x:t xml:space="preserve">Campaign No. </x:t>
        </x:is>
      </x:c>
      <x:c r="F1" s="1" t="inlineStr">
        <x:is>
          <x:t xml:space="preserve">Description</x:t>
        </x:is>
      </x:c>
      <x:c r="G1" s="1" t="inlineStr">
        <x:is>
          <x:t xml:space="preserve">Type</x:t>
        </x:is>
      </x:c>
      <x:c r="H1" s="1" t="inlineStr">
        <x:is>
          <x:t xml:space="preserve">Sub-Type</x:t>
        </x:is>
      </x:c>
      <x:c r="I1" s="1" t="inlineStr">
        <x:is>
          <x:t xml:space="preserve">Shortage</x:t>
        </x:is>
      </x:c>
      <x:c r="J1" s="1" t="inlineStr">
        <x:is>
          <x:t xml:space="preserve">Scheduled DateTime1</x:t>
        </x:is>
      </x:c>
      <x:c r="K1" s="1" t="inlineStr">
        <x:is>
          <x:t xml:space="preserve">Related Campaigns</x:t>
        </x:is>
      </x:c>
      <x:c r="L1" s="1" t="inlineStr">
        <x:is>
          <x:t xml:space="preserve">Main Wine No.</x:t>
        </x:is>
      </x:c>
      <x:c r="M1" s="1" t="inlineStr">
        <x:is>
          <x:t xml:space="preserve">Main Wine Name</x:t>
        </x:is>
      </x:c>
      <x:c r="N1" s="1" t="inlineStr">
        <x:is>
          <x:t xml:space="preserve">Main Item No.</x:t>
        </x:is>
      </x:c>
      <x:c r="O1" s="1" t="inlineStr">
        <x:is>
          <x:t xml:space="preserve">Main Bottle Price (LCY)</x:t>
        </x:is>
      </x:c>
      <x:c r="P1" s="1" t="inlineStr">
        <x:is>
          <x:t xml:space="preserve">Vintage Code</x:t>
        </x:is>
      </x:c>
      <x:c r="Q1" s="1" t="inlineStr">
        <x:is>
          <x:t xml:space="preserve">Wine Producer Name</x:t>
        </x:is>
      </x:c>
      <x:c r="R1" s="1" t="inlineStr">
        <x:is>
          <x:t xml:space="preserve">Multiple wines</x:t>
        </x:is>
      </x:c>
      <x:c r="S1" s="1" t="inlineStr">
        <x:is>
          <x:t xml:space="preserve">Email Sent</x:t>
        </x:is>
      </x:c>
      <x:c r="T1" s="1" t="inlineStr">
        <x:is>
          <x:t xml:space="preserve">Total Unique Customers Bought</x:t>
        </x:is>
      </x:c>
      <x:c r="U1" s="1" t="inlineStr">
        <x:is>
          <x:t xml:space="preserve">Conversion Rate %</x:t>
        </x:is>
      </x:c>
      <x:c r="V1" s="1" t="inlineStr">
        <x:is>
          <x:t xml:space="preserve">Total Sales Amount (LCY)</x:t>
        </x:is>
      </x:c>
      <x:c r="W1" s="1" t="inlineStr">
        <x:is>
          <x:t xml:space="preserve">Delayed Sending</x:t>
        </x:is>
      </x:c>
    </x:row>
    <x:row r="2">
      <x:c r="A2" s="2" t="inlineStr">
        <x:is>
          <x:t xml:space="preserve">Last month</x:t>
        </x:is>
      </x:c>
      <x:c r="B2" s="2" t="inlineStr">
        <x:is>
          <x:t xml:space="preserve">01.10.25 00:00..31.10.25 23:59</x:t>
        </x:is>
      </x:c>
      <x:c r="C2" s="2" t="inlineStr">
        <x:is>
          <x:t xml:space="preserve">Campaign Sales Statistics is being updated.</x:t>
        </x:is>
      </x:c>
      <x:c r="D2" s="2" t="inlineStr">
        <x:is>
          <x:t xml:space="preserve">Campaign Sales Statistics updated at: 03.11.25 15:31</x:t>
        </x:is>
      </x:c>
      <x:c r="E2" s="2" t="inlineStr">
        <x:is>
          <x:t xml:space="preserve">CM-25-03015</x:t>
        </x:is>
      </x:c>
      <x:c r="F2" s="2" t="inlineStr">
        <x:is>
          <x:t xml:space="preserve">Krug Collection 1982 -1/1- bht&gt;1K OR bht KRUG</x:t>
        </x:is>
      </x:c>
      <x:c r="G2" s="2" t="inlineStr">
        <x:is>
          <x:t xml:space="preserve">PRIVATE</x:t>
        </x:is>
      </x:c>
      <x:c r="H2" s="2" t="inlineStr">
        <x:is>
          <x:t xml:space="preserve">Normal</x:t>
        </x:is>
      </x:c>
      <x:c r="I2" s="3" t="n">
        <x:f>FALSE()</x:f>
        <x:v>0</x:v>
      </x:c>
      <x:c r="J2" s="4" t="n">
        <x:v>45961.71041666667</x:v>
      </x:c>
      <x:c r="K2" s="3" t="n">
        <x:v>1</x:v>
      </x:c>
      <x:c r="L2" s="2" t="inlineStr">
        <x:is>
          <x:t xml:space="preserve">3402</x:t>
        </x:is>
      </x:c>
      <x:c r="M2" s="2" t="inlineStr">
        <x:is>
          <x:t xml:space="preserve">Champagne Brut Collection</x:t>
        </x:is>
      </x:c>
      <x:c r="N2" s="2" t="inlineStr">
        <x:is>
          <x:t xml:space="preserve">30493</x:t>
        </x:is>
      </x:c>
      <x:c r="O2" s="5" t="n">
        <x:v>3460</x:v>
      </x:c>
      <x:c r="P2" s="2" t="inlineStr">
        <x:is>
          <x:t xml:space="preserve">1982</x:t>
        </x:is>
      </x:c>
      <x:c r="Q2" s="2" t="inlineStr">
        <x:is>
          <x:t xml:space="preserve">Krug</x:t>
        </x:is>
      </x:c>
      <x:c r="R2" s="3" t="n">
        <x:v>1</x:v>
      </x:c>
      <x:c r="S2" s="3" t="n">
        <x:v>373</x:v>
      </x:c>
      <x:c r="T2" s="3" t="n">
        <x:v>1</x:v>
      </x:c>
      <x:c r="U2" s="5" t="n">
        <x:v>0.27</x:v>
      </x:c>
      <x:c r="V2" s="5" t="n">
        <x:v>3406.06845513413506</x:v>
      </x:c>
      <x:c r="W2" s="3" t="n">
        <x:f>FALSE()</x:f>
        <x:v>0</x:v>
      </x:c>
    </x:row>
    <x:row r="3">
      <x:c r="A3" s="2" t="inlineStr">
        <x:is>
          <x:t xml:space="preserve">Last month</x:t>
        </x:is>
      </x:c>
      <x:c r="B3" s="2" t="inlineStr">
        <x:is>
          <x:t xml:space="preserve">01.10.25 00:00..31.10.25 23:59</x:t>
        </x:is>
      </x:c>
      <x:c r="C3" s="2" t="inlineStr">
        <x:is>
          <x:t xml:space="preserve">Campaign Sales Statistics is being updated.</x:t>
        </x:is>
      </x:c>
      <x:c r="D3" s="2" t="inlineStr">
        <x:is>
          <x:t xml:space="preserve">Campaign Sales Statistics updated at: 03.11.25 15:31</x:t>
        </x:is>
      </x:c>
      <x:c r="E3" s="2" t="inlineStr">
        <x:is>
          <x:t xml:space="preserve">CM-25-03017</x:t>
        </x:is>
      </x:c>
      <x:c r="F3" s="2" t="inlineStr">
        <x:is>
          <x:t xml:space="preserve">Issan 2022 -(1/1)- bght&lt;1K </x:t>
        </x:is>
      </x:c>
      <x:c r="G3" s="2" t="inlineStr">
        <x:is>
          <x:t xml:space="preserve">PRIVATE</x:t>
        </x:is>
      </x:c>
      <x:c r="H3" s="2" t="inlineStr">
        <x:is>
          <x:t xml:space="preserve">Normal</x:t>
        </x:is>
      </x:c>
      <x:c r="I3" s="3" t="n">
        <x:f>FALSE()</x:f>
        <x:v>0</x:v>
      </x:c>
      <x:c r="J3" s="4" t="n">
        <x:v>45961.68115231481</x:v>
      </x:c>
      <x:c r="K3" s="3" t="n">
        <x:v>1</x:v>
      </x:c>
      <x:c r="L3" s="2" t="inlineStr">
        <x:is>
          <x:t xml:space="preserve">1373</x:t>
        </x:is>
      </x:c>
      <x:c r="M3" s="2" t="inlineStr">
        <x:is>
          <x:t xml:space="preserve">D'Issan</x:t>
        </x:is>
      </x:c>
      <x:c r="N3" s="2" t="inlineStr">
        <x:is>
          <x:t xml:space="preserve">57114</x:t>
        </x:is>
      </x:c>
      <x:c r="O3" s="5" t="n">
        <x:v>64</x:v>
      </x:c>
      <x:c r="P3" s="2" t="inlineStr">
        <x:is>
          <x:t xml:space="preserve">2022</x:t>
        </x:is>
      </x:c>
      <x:c r="Q3" s="2" t="inlineStr">
        <x:is>
          <x:t xml:space="preserve">Château D'Issan</x:t>
        </x:is>
      </x:c>
      <x:c r="R3" s="3" t="n">
        <x:v>1</x:v>
      </x:c>
      <x:c r="S3" s="3" t="n">
        <x:v>4176</x:v>
      </x:c>
      <x:c r="T3" s="3" t="n">
        <x:v>27</x:v>
      </x:c>
      <x:c r="U3" s="5" t="n">
        <x:v>0.65</x:v>
      </x:c>
      <x:c r="V3" s="5" t="n">
        <x:v>19148.418131359852</x:v>
      </x:c>
      <x:c r="W3" s="3" t="n">
        <x:f>FALSE()</x:f>
        <x:v>0</x:v>
      </x:c>
    </x:row>
    <x:row r="4">
      <x:c r="A4" s="2" t="inlineStr">
        <x:is>
          <x:t xml:space="preserve">Last month</x:t>
        </x:is>
      </x:c>
      <x:c r="B4" s="2" t="inlineStr">
        <x:is>
          <x:t xml:space="preserve">01.10.25 00:00..31.10.25 23:59</x:t>
        </x:is>
      </x:c>
      <x:c r="C4" s="2" t="inlineStr">
        <x:is>
          <x:t xml:space="preserve">Campaign Sales Statistics is being updated.</x:t>
        </x:is>
      </x:c>
      <x:c r="D4" s="2" t="inlineStr">
        <x:is>
          <x:t xml:space="preserve">Campaign Sales Statistics updated at: 03.11.25 15:31</x:t>
        </x:is>
      </x:c>
      <x:c r="E4" s="2" t="inlineStr">
        <x:is>
          <x:t xml:space="preserve">CM-25-03003</x:t>
        </x:is>
      </x:c>
      <x:c r="F4" s="2" t="inlineStr">
        <x:is>
          <x:t xml:space="preserve">Unico 2014 -(1/1)- bht&gt;100 </x:t>
        </x:is>
      </x:c>
      <x:c r="G4" s="2" t="inlineStr">
        <x:is>
          <x:t xml:space="preserve">PRIVATE</x:t>
        </x:is>
      </x:c>
      <x:c r="H4" s="2" t="inlineStr">
        <x:is>
          <x:t xml:space="preserve">Normal</x:t>
        </x:is>
      </x:c>
      <x:c r="I4" s="3" t="n">
        <x:f>FALSE()</x:f>
        <x:v>0</x:v>
      </x:c>
      <x:c r="J4" s="4" t="n">
        <x:v>45961.645833333336</x:v>
      </x:c>
      <x:c r="K4" s="3" t="n">
        <x:v>1</x:v>
      </x:c>
      <x:c r="L4" s="2" t="inlineStr">
        <x:is>
          <x:t xml:space="preserve">3118</x:t>
        </x:is>
      </x:c>
      <x:c r="M4" s="2" t="inlineStr">
        <x:is>
          <x:t xml:space="preserve">Único</x:t>
        </x:is>
      </x:c>
      <x:c r="N4" s="2" t="inlineStr">
        <x:is>
          <x:t xml:space="preserve">19163</x:t>
        </x:is>
      </x:c>
      <x:c r="O4" s="5" t="n">
        <x:v>335</x:v>
      </x:c>
      <x:c r="P4" s="2" t="inlineStr">
        <x:is>
          <x:t xml:space="preserve">2014</x:t>
        </x:is>
      </x:c>
      <x:c r="Q4" s="2" t="inlineStr">
        <x:is>
          <x:t xml:space="preserve">Bodegas Vega Sicilia</x:t>
        </x:is>
      </x:c>
      <x:c r="R4" s="3" t="n">
        <x:v>1</x:v>
      </x:c>
      <x:c r="S4" s="3" t="n">
        <x:v>1475</x:v>
      </x:c>
      <x:c r="T4" s="3" t="n">
        <x:v>11</x:v>
      </x:c>
      <x:c r="U4" s="5" t="n">
        <x:v>0.75</x:v>
      </x:c>
      <x:c r="V4" s="5" t="n">
        <x:v>24992.7446623496762</x:v>
      </x:c>
      <x:c r="W4" s="3" t="n">
        <x:f>FALSE()</x:f>
        <x:v>0</x:v>
      </x:c>
    </x:row>
    <x:row r="5">
      <x:c r="A5" s="2" t="inlineStr">
        <x:is>
          <x:t xml:space="preserve">Last month</x:t>
        </x:is>
      </x:c>
      <x:c r="B5" s="2" t="inlineStr">
        <x:is>
          <x:t xml:space="preserve">01.10.25 00:00..31.10.25 23:59</x:t>
        </x:is>
      </x:c>
      <x:c r="C5" s="2" t="inlineStr">
        <x:is>
          <x:t xml:space="preserve">Campaign Sales Statistics is being updated.</x:t>
        </x:is>
      </x:c>
      <x:c r="D5" s="2" t="inlineStr">
        <x:is>
          <x:t xml:space="preserve">Campaign Sales Statistics updated at: 03.11.25 15:31</x:t>
        </x:is>
      </x:c>
      <x:c r="E5" s="2" t="inlineStr">
        <x:is>
          <x:t xml:space="preserve">CM-25-03002</x:t>
        </x:is>
      </x:c>
      <x:c r="F5" s="2" t="inlineStr">
        <x:is>
          <x:t xml:space="preserve">SUPER: Antinori and Tenuta Luce</x:t>
        </x:is>
      </x:c>
      <x:c r="G5" s="2" t="inlineStr">
        <x:is>
          <x:t xml:space="preserve">TRADE</x:t>
        </x:is>
      </x:c>
      <x:c r="H5" s="2" t="inlineStr">
        <x:is>
          <x:t xml:space="preserve">Normal</x:t>
        </x:is>
      </x:c>
      <x:c r="I5" s="3" t="n">
        <x:f>TRUE()</x:f>
        <x:v>1</x:v>
      </x:c>
      <x:c r="J5" s="4" t="n">
        <x:v>45961.46712349537</x:v>
      </x:c>
      <x:c r="K5" s="3" t="n">
        <x:v>1</x:v>
      </x:c>
      <x:c r="L5" s="2" t="inlineStr">
        <x:is>
          <x:t xml:space="preserve">31592</x:t>
        </x:is>
      </x:c>
      <x:c r="M5" s="2" t="inlineStr">
        <x:is>
          <x:t xml:space="preserve">Il Pino di Biserno</x:t>
        </x:is>
      </x:c>
      <x:c r="N5" s="2" t="inlineStr">
        <x:is>
          <x:t xml:space="preserve">60043</x:t>
        </x:is>
      </x:c>
      <x:c r="O5" s="5" t="n">
        <x:v>45</x:v>
      </x:c>
      <x:c r="P5" s="2" t="inlineStr">
        <x:is>
          <x:t xml:space="preserve">2022</x:t>
        </x:is>
      </x:c>
      <x:c r="Q5" s="2" t="inlineStr">
        <x:is>
          <x:t xml:space="preserve">Tenuta di Biserno</x:t>
        </x:is>
      </x:c>
      <x:c r="R5" s="3" t="n">
        <x:v>9</x:v>
      </x:c>
      <x:c r="S5" s="3" t="n">
        <x:v>21</x:v>
      </x:c>
      <x:c r="T5" s="3" t="n">
        <x:v>0</x:v>
      </x:c>
      <x:c r="U5" s="5" t="n">
        <x:v>0</x:v>
      </x:c>
      <x:c r="V5" s="5" t="n">
        <x:v>0</x:v>
      </x:c>
      <x:c r="W5" s="3" t="n">
        <x:f>FALSE()</x:f>
        <x:v>0</x:v>
      </x:c>
    </x:row>
    <x:row r="6">
      <x:c r="A6" s="2" t="inlineStr">
        <x:is>
          <x:t xml:space="preserve">Last month</x:t>
        </x:is>
      </x:c>
      <x:c r="B6" s="2" t="inlineStr">
        <x:is>
          <x:t xml:space="preserve">01.10.25 00:00..31.10.25 23:59</x:t>
        </x:is>
      </x:c>
      <x:c r="C6" s="2" t="inlineStr">
        <x:is>
          <x:t xml:space="preserve">Campaign Sales Statistics is being updated.</x:t>
        </x:is>
      </x:c>
      <x:c r="D6" s="2" t="inlineStr">
        <x:is>
          <x:t xml:space="preserve">Campaign Sales Statistics updated at: 03.11.25 15:31</x:t>
        </x:is>
      </x:c>
      <x:c r="E6" s="2" t="inlineStr">
        <x:is>
          <x:t xml:space="preserve">CM-25-03000</x:t>
        </x:is>
      </x:c>
      <x:c r="F6" s="2" t="inlineStr">
        <x:is>
          <x:t xml:space="preserve">Tignanello 2022 -(1/1)-bht&gt;100pb</x:t>
        </x:is>
      </x:c>
      <x:c r="G6" s="2" t="inlineStr">
        <x:is>
          <x:t xml:space="preserve">PRIVATE</x:t>
        </x:is>
      </x:c>
      <x:c r="H6" s="2" t="inlineStr">
        <x:is>
          <x:t xml:space="preserve">Normal</x:t>
        </x:is>
      </x:c>
      <x:c r="I6" s="3" t="n">
        <x:f>FALSE()</x:f>
        <x:v>0</x:v>
      </x:c>
      <x:c r="J6" s="4" t="n">
        <x:v>45961.416666666664</x:v>
      </x:c>
      <x:c r="K6" s="3" t="n">
        <x:v>1</x:v>
      </x:c>
      <x:c r="L6" s="2" t="inlineStr">
        <x:is>
          <x:t xml:space="preserve">2463</x:t>
        </x:is>
      </x:c>
      <x:c r="M6" s="2" t="inlineStr">
        <x:is>
          <x:t xml:space="preserve">Tignanello</x:t>
        </x:is>
      </x:c>
      <x:c r="N6" s="2" t="inlineStr">
        <x:is>
          <x:t xml:space="preserve">63038</x:t>
        </x:is>
      </x:c>
      <x:c r="O6" s="5" t="n">
        <x:v>120</x:v>
      </x:c>
      <x:c r="P6" s="2" t="inlineStr">
        <x:is>
          <x:t xml:space="preserve">2022</x:t>
        </x:is>
      </x:c>
      <x:c r="Q6" s="2" t="inlineStr">
        <x:is>
          <x:t xml:space="preserve">Antinori - Tenuta Tignanello</x:t>
        </x:is>
      </x:c>
      <x:c r="R6" s="3" t="n">
        <x:v>1</x:v>
      </x:c>
      <x:c r="S6" s="3" t="n">
        <x:v>2282</x:v>
      </x:c>
      <x:c r="T6" s="3" t="n">
        <x:v>22</x:v>
      </x:c>
      <x:c r="U6" s="5" t="n">
        <x:v>0.96</x:v>
      </x:c>
      <x:c r="V6" s="5" t="n">
        <x:v>24615.2580943570768</x:v>
      </x:c>
      <x:c r="W6" s="3" t="n">
        <x:f>FALSE()</x:f>
        <x:v>0</x:v>
      </x:c>
    </x:row>
    <x:row r="7">
      <x:c r="A7" s="2" t="inlineStr">
        <x:is>
          <x:t xml:space="preserve">Last month</x:t>
        </x:is>
      </x:c>
      <x:c r="B7" s="2" t="inlineStr">
        <x:is>
          <x:t xml:space="preserve">01.10.25 00:00..31.10.25 23:59</x:t>
        </x:is>
      </x:c>
      <x:c r="C7" s="2" t="inlineStr">
        <x:is>
          <x:t xml:space="preserve">Campaign Sales Statistics is being updated.</x:t>
        </x:is>
      </x:c>
      <x:c r="D7" s="2" t="inlineStr">
        <x:is>
          <x:t xml:space="preserve">Campaign Sales Statistics updated at: 03.11.25 15:31</x:t>
        </x:is>
      </x:c>
      <x:c r="E7" s="2" t="inlineStr">
        <x:is>
          <x:t xml:space="preserve">CM-25-02965</x:t>
        </x:is>
      </x:c>
      <x:c r="F7" s="2" t="inlineStr">
        <x:is>
          <x:t xml:space="preserve">La Faraona -(1/1)- spent&gt;300 for Spain</x:t>
        </x:is>
      </x:c>
      <x:c r="G7" s="2" t="inlineStr">
        <x:is>
          <x:t xml:space="preserve">PRIVATE</x:t>
        </x:is>
      </x:c>
      <x:c r="H7" s="2" t="inlineStr">
        <x:is>
          <x:t xml:space="preserve">Normal</x:t>
        </x:is>
      </x:c>
      <x:c r="I7" s="3" t="n">
        <x:f>FALSE()</x:f>
        <x:v>0</x:v>
      </x:c>
      <x:c r="J7" s="4" t="n">
        <x:v>45960.729166666664</x:v>
      </x:c>
      <x:c r="K7" s="3" t="n">
        <x:v>1</x:v>
      </x:c>
      <x:c r="L7" s="2" t="inlineStr">
        <x:is>
          <x:t xml:space="preserve">31032</x:t>
        </x:is>
      </x:c>
      <x:c r="M7" s="2" t="inlineStr">
        <x:is>
          <x:t xml:space="preserve">La Faraona</x:t>
        </x:is>
      </x:c>
      <x:c r="N7" s="2" t="inlineStr">
        <x:is>
          <x:t xml:space="preserve">61985</x:t>
        </x:is>
      </x:c>
      <x:c r="O7" s="5" t="n">
        <x:v>1150</x:v>
      </x:c>
      <x:c r="P7" s="2" t="inlineStr">
        <x:is>
          <x:t xml:space="preserve">2023</x:t>
        </x:is>
      </x:c>
      <x:c r="Q7" s="2" t="inlineStr">
        <x:is>
          <x:t xml:space="preserve">Descendientes de Jose Palacio</x:t>
        </x:is>
      </x:c>
      <x:c r="R7" s="3" t="n">
        <x:v>1</x:v>
      </x:c>
      <x:c r="S7" s="3" t="n">
        <x:v>559</x:v>
      </x:c>
      <x:c r="T7" s="3" t="n">
        <x:v>3</x:v>
      </x:c>
      <x:c r="U7" s="5" t="n">
        <x:v>0.54</x:v>
      </x:c>
      <x:c r="V7" s="5" t="n">
        <x:v>12238.4122386679001</x:v>
      </x:c>
      <x:c r="W7" s="3" t="n">
        <x:f>FALSE()</x:f>
        <x:v>0</x:v>
      </x:c>
    </x:row>
    <x:row r="8">
      <x:c r="A8" s="2" t="inlineStr">
        <x:is>
          <x:t xml:space="preserve">Last month</x:t>
        </x:is>
      </x:c>
      <x:c r="B8" s="2" t="inlineStr">
        <x:is>
          <x:t xml:space="preserve">01.10.25 00:00..31.10.25 23:59</x:t>
        </x:is>
      </x:c>
      <x:c r="C8" s="2" t="inlineStr">
        <x:is>
          <x:t xml:space="preserve">Campaign Sales Statistics is being updated.</x:t>
        </x:is>
      </x:c>
      <x:c r="D8" s="2" t="inlineStr">
        <x:is>
          <x:t xml:space="preserve">Campaign Sales Statistics updated at: 03.11.25 15:31</x:t>
        </x:is>
      </x:c>
      <x:c r="E8" s="2" t="inlineStr">
        <x:is>
          <x:t xml:space="preserve">CM-25-02974</x:t>
        </x:is>
      </x:c>
      <x:c r="F8" s="2" t="inlineStr">
        <x:is>
          <x:t xml:space="preserve">Ausone 2009 -(1/1)- bght&gt;800</x:t>
        </x:is>
      </x:c>
      <x:c r="G8" s="2" t="inlineStr">
        <x:is>
          <x:t xml:space="preserve">PRIVATE</x:t>
        </x:is>
      </x:c>
      <x:c r="H8" s="2" t="inlineStr">
        <x:is>
          <x:t xml:space="preserve">Normal</x:t>
        </x:is>
      </x:c>
      <x:c r="I8" s="3" t="n">
        <x:f>FALSE()</x:f>
        <x:v>0</x:v>
      </x:c>
      <x:c r="J8" s="4" t="n">
        <x:v>45960.66805555556</x:v>
      </x:c>
      <x:c r="K8" s="3" t="n">
        <x:v>1</x:v>
      </x:c>
      <x:c r="L8" s="2" t="inlineStr">
        <x:is>
          <x:t xml:space="preserve">44074</x:t>
        </x:is>
      </x:c>
      <x:c r="M8" s="2" t="inlineStr">
        <x:is>
          <x:t xml:space="preserve">Ausone (Ex-Chateau)</x:t>
        </x:is>
      </x:c>
      <x:c r="N8" s="2" t="inlineStr">
        <x:is>
          <x:t xml:space="preserve">52621</x:t>
        </x:is>
      </x:c>
      <x:c r="O8" s="5" t="n">
        <x:v>1350</x:v>
      </x:c>
      <x:c r="P8" s="2" t="inlineStr">
        <x:is>
          <x:t xml:space="preserve">2009</x:t>
        </x:is>
      </x:c>
      <x:c r="Q8" s="2" t="inlineStr">
        <x:is>
          <x:t xml:space="preserve">Château Ausone</x:t>
        </x:is>
      </x:c>
      <x:c r="R8" s="3" t="n">
        <x:v>1</x:v>
      </x:c>
      <x:c r="S8" s="3" t="n">
        <x:v>616</x:v>
      </x:c>
      <x:c r="T8" s="3" t="n">
        <x:v>0</x:v>
      </x:c>
      <x:c r="U8" s="5" t="n">
        <x:v>0</x:v>
      </x:c>
      <x:c r="V8" s="5" t="n">
        <x:v>0</x:v>
      </x:c>
      <x:c r="W8" s="3" t="n">
        <x:f>FALSE()</x:f>
        <x:v>0</x:v>
      </x:c>
    </x:row>
    <x:row r="9">
      <x:c r="A9" s="2" t="inlineStr">
        <x:is>
          <x:t xml:space="preserve">Last month</x:t>
        </x:is>
      </x:c>
      <x:c r="B9" s="2" t="inlineStr">
        <x:is>
          <x:t xml:space="preserve">01.10.25 00:00..31.10.25 23:59</x:t>
        </x:is>
      </x:c>
      <x:c r="C9" s="2" t="inlineStr">
        <x:is>
          <x:t xml:space="preserve">Campaign Sales Statistics is being updated.</x:t>
        </x:is>
      </x:c>
      <x:c r="D9" s="2" t="inlineStr">
        <x:is>
          <x:t xml:space="preserve">Campaign Sales Statistics updated at: 03.11.25 15:31</x:t>
        </x:is>
      </x:c>
      <x:c r="E9" s="2" t="inlineStr">
        <x:is>
          <x:t xml:space="preserve">CM-25-02990</x:t>
        </x:is>
      </x:c>
      <x:c r="F9" s="2" t="inlineStr">
        <x:is>
          <x:t xml:space="preserve">La Joie Vérité 2008 -(1/1)- bht&gt;200pb</x:t>
        </x:is>
      </x:c>
      <x:c r="G9" s="2" t="inlineStr">
        <x:is>
          <x:t xml:space="preserve">PRIVATE</x:t>
        </x:is>
      </x:c>
      <x:c r="H9" s="2" t="inlineStr">
        <x:is>
          <x:t xml:space="preserve">Normal</x:t>
        </x:is>
      </x:c>
      <x:c r="I9" s="3" t="n">
        <x:f>FALSE()</x:f>
        <x:v>0</x:v>
      </x:c>
      <x:c r="J9" s="4" t="n">
        <x:v>45960.58472222222</x:v>
      </x:c>
      <x:c r="K9" s="3" t="n">
        <x:v>1</x:v>
      </x:c>
      <x:c r="L9" s="2" t="inlineStr">
        <x:is>
          <x:t xml:space="preserve">32229</x:t>
        </x:is>
      </x:c>
      <x:c r="M9" s="2" t="inlineStr">
        <x:is>
          <x:t xml:space="preserve">La Joie</x:t>
        </x:is>
      </x:c>
      <x:c r="N9" s="2" t="inlineStr">
        <x:is>
          <x:t xml:space="preserve">15447</x:t>
        </x:is>
      </x:c>
      <x:c r="O9" s="5" t="n">
        <x:v>245</x:v>
      </x:c>
      <x:c r="P9" s="2" t="inlineStr">
        <x:is>
          <x:t xml:space="preserve">2008</x:t>
        </x:is>
      </x:c>
      <x:c r="Q9" s="2" t="inlineStr">
        <x:is>
          <x:t xml:space="preserve">Vérité</x:t>
        </x:is>
      </x:c>
      <x:c r="R9" s="3" t="n">
        <x:v>1</x:v>
      </x:c>
      <x:c r="S9" s="3" t="n">
        <x:v>1601</x:v>
      </x:c>
      <x:c r="T9" s="3" t="n">
        <x:v>16</x:v>
      </x:c>
      <x:c r="U9" s="5" t="n">
        <x:v>1</x:v>
      </x:c>
      <x:c r="V9" s="5" t="n">
        <x:v>26488.3006105457909</x:v>
      </x:c>
      <x:c r="W9" s="3" t="n">
        <x:f>FALSE()</x:f>
        <x:v>0</x:v>
      </x:c>
    </x:row>
    <x:row r="10">
      <x:c r="A10" s="2" t="inlineStr">
        <x:is>
          <x:t xml:space="preserve">Last month</x:t>
        </x:is>
      </x:c>
      <x:c r="B10" s="2" t="inlineStr">
        <x:is>
          <x:t xml:space="preserve">01.10.25 00:00..31.10.25 23:59</x:t>
        </x:is>
      </x:c>
      <x:c r="C10" s="2" t="inlineStr">
        <x:is>
          <x:t xml:space="preserve">Campaign Sales Statistics is being updated.</x:t>
        </x:is>
      </x:c>
      <x:c r="D10" s="2" t="inlineStr">
        <x:is>
          <x:t xml:space="preserve">Campaign Sales Statistics updated at: 03.11.25 15:31</x:t>
        </x:is>
      </x:c>
      <x:c r="E10" s="2" t="inlineStr">
        <x:is>
          <x:t xml:space="preserve">CM-25-02975</x:t>
        </x:is>
      </x:c>
      <x:c r="F10" s="2" t="inlineStr">
        <x:is>
          <x:t xml:space="preserve">Riesling Vogelsang Serrig -(1/2)- bht white</x:t>
        </x:is>
      </x:c>
      <x:c r="G10" s="2" t="inlineStr">
        <x:is>
          <x:t xml:space="preserve">PRIVATE</x:t>
        </x:is>
      </x:c>
      <x:c r="H10" s="2" t="inlineStr">
        <x:is>
          <x:t xml:space="preserve">Normal</x:t>
        </x:is>
      </x:c>
      <x:c r="I10" s="3" t="n">
        <x:f>FALSE()</x:f>
        <x:v>0</x:v>
      </x:c>
      <x:c r="J10" s="4" t="n">
        <x:v>45960.461805555555</x:v>
      </x:c>
      <x:c r="K10" s="3" t="n">
        <x:v>2</x:v>
      </x:c>
      <x:c r="L10" s="2" t="inlineStr">
        <x:is>
          <x:t xml:space="preserve">44480</x:t>
        </x:is>
      </x:c>
      <x:c r="M10" s="2" t="inlineStr">
        <x:is>
          <x:t xml:space="preserve">Riesling Grosse Lage</x:t>
        </x:is>
      </x:c>
      <x:c r="N10" s="2" t="inlineStr">
        <x:is>
          <x:t xml:space="preserve">59393</x:t>
        </x:is>
      </x:c>
      <x:c r="O10" s="5" t="n">
        <x:v>185</x:v>
      </x:c>
      <x:c r="P10" s="2" t="inlineStr">
        <x:is>
          <x:t xml:space="preserve">2020</x:t>
        </x:is>
      </x:c>
      <x:c r="Q10" s="2" t="inlineStr">
        <x:is>
          <x:t xml:space="preserve">Domäne Serrig</x:t>
        </x:is>
      </x:c>
      <x:c r="R10" s="3" t="n">
        <x:v>1</x:v>
      </x:c>
      <x:c r="S10" s="3" t="n">
        <x:v>1009</x:v>
      </x:c>
      <x:c r="T10" s="3" t="n">
        <x:v>3</x:v>
      </x:c>
      <x:c r="U10" s="5" t="n">
        <x:v>0.3</x:v>
      </x:c>
      <x:c r="V10" s="5" t="n">
        <x:v>2565.91296947271045</x:v>
      </x:c>
      <x:c r="W10" s="3" t="n">
        <x:f>FALSE()</x:f>
        <x:v>0</x:v>
      </x:c>
    </x:row>
    <x:row r="11">
      <x:c r="A11" s="2" t="inlineStr">
        <x:is>
          <x:t xml:space="preserve">Last month</x:t>
        </x:is>
      </x:c>
      <x:c r="B11" s="2" t="inlineStr">
        <x:is>
          <x:t xml:space="preserve">01.10.25 00:00..31.10.25 23:59</x:t>
        </x:is>
      </x:c>
      <x:c r="C11" s="2" t="inlineStr">
        <x:is>
          <x:t xml:space="preserve">Campaign Sales Statistics is being updated.</x:t>
        </x:is>
      </x:c>
      <x:c r="D11" s="2" t="inlineStr">
        <x:is>
          <x:t xml:space="preserve">Campaign Sales Statistics updated at: 03.11.25 15:31</x:t>
        </x:is>
      </x:c>
      <x:c r="E11" s="2" t="inlineStr">
        <x:is>
          <x:t xml:space="preserve">CM-25-02992</x:t>
        </x:is>
      </x:c>
      <x:c r="F11" s="2" t="inlineStr">
        <x:is>
          <x:t xml:space="preserve">Crognolo 2022 -(1/1)- AVG&gt;60 Or bht ITA&lt;30</x:t>
        </x:is>
      </x:c>
      <x:c r="G11" s="2" t="inlineStr">
        <x:is>
          <x:t xml:space="preserve">PRIVATE</x:t>
        </x:is>
      </x:c>
      <x:c r="H11" s="2" t="inlineStr">
        <x:is>
          <x:t xml:space="preserve">Normal</x:t>
        </x:is>
      </x:c>
      <x:c r="I11" s="3" t="n">
        <x:f>FALSE()</x:f>
        <x:v>0</x:v>
      </x:c>
      <x:c r="J11" s="4" t="n">
        <x:v>45960.447916666664</x:v>
      </x:c>
      <x:c r="K11" s="3" t="n">
        <x:v>1</x:v>
      </x:c>
      <x:c r="L11" s="2" t="inlineStr">
        <x:is>
          <x:t xml:space="preserve">32356</x:t>
        </x:is>
      </x:c>
      <x:c r="M11" s="2" t="inlineStr">
        <x:is>
          <x:t xml:space="preserve">Crognolo</x:t>
        </x:is>
      </x:c>
      <x:c r="N11" s="2" t="inlineStr">
        <x:is>
          <x:t xml:space="preserve">62101</x:t>
        </x:is>
      </x:c>
      <x:c r="O11" s="5" t="n">
        <x:v>19</x:v>
      </x:c>
      <x:c r="P11" s="2" t="inlineStr">
        <x:is>
          <x:t xml:space="preserve">2022</x:t>
        </x:is>
      </x:c>
      <x:c r="Q11" s="2" t="inlineStr">
        <x:is>
          <x:t xml:space="preserve">Tenuta Sette Ponti</x:t>
        </x:is>
      </x:c>
      <x:c r="R11" s="3" t="n">
        <x:v>1</x:v>
      </x:c>
      <x:c r="S11" s="3" t="n">
        <x:v>1091</x:v>
      </x:c>
      <x:c r="T11" s="3" t="n">
        <x:v>22</x:v>
      </x:c>
      <x:c r="U11" s="5" t="n">
        <x:v>2.02</x:v>
      </x:c>
      <x:c r="V11" s="5" t="n">
        <x:v>5247.40011100832563</x:v>
      </x:c>
      <x:c r="W11" s="3" t="n">
        <x:f>FALSE()</x:f>
        <x:v>0</x:v>
      </x:c>
    </x:row>
    <x:row r="12">
      <x:c r="A12" s="2" t="inlineStr">
        <x:is>
          <x:t xml:space="preserve">Last month</x:t>
        </x:is>
      </x:c>
      <x:c r="B12" s="2" t="inlineStr">
        <x:is>
          <x:t xml:space="preserve">01.10.25 00:00..31.10.25 23:59</x:t>
        </x:is>
      </x:c>
      <x:c r="C12" s="2" t="inlineStr">
        <x:is>
          <x:t xml:space="preserve">Campaign Sales Statistics is being updated.</x:t>
        </x:is>
      </x:c>
      <x:c r="D12" s="2" t="inlineStr">
        <x:is>
          <x:t xml:space="preserve">Campaign Sales Statistics updated at: 03.11.25 15:31</x:t>
        </x:is>
      </x:c>
      <x:c r="E12" s="2" t="inlineStr">
        <x:is>
          <x:t xml:space="preserve">CM-25-02985</x:t>
        </x:is>
      </x:c>
      <x:c r="F12" s="2" t="inlineStr">
        <x:is>
          <x:t xml:space="preserve">Corton-Charlemagne 2023 -(1/1)- bght BDY&gt;1000</x:t>
        </x:is>
      </x:c>
      <x:c r="G12" s="2" t="inlineStr">
        <x:is>
          <x:t xml:space="preserve">PRIVATE</x:t>
        </x:is>
      </x:c>
      <x:c r="H12" s="2" t="inlineStr">
        <x:is>
          <x:t xml:space="preserve">Normal</x:t>
        </x:is>
      </x:c>
      <x:c r="I12" s="3" t="n">
        <x:f>FALSE()</x:f>
        <x:v>0</x:v>
      </x:c>
      <x:c r="J12" s="4" t="n">
        <x:v>45959.751388888886</x:v>
      </x:c>
      <x:c r="K12" s="3" t="n">
        <x:v>1</x:v>
      </x:c>
      <x:c r="L12" s="2" t="inlineStr">
        <x:is>
          <x:t xml:space="preserve">11230</x:t>
        </x:is>
      </x:c>
      <x:c r="M12" s="2" t="inlineStr">
        <x:is>
          <x:t xml:space="preserve">Corton Charlemagne</x:t>
        </x:is>
      </x:c>
      <x:c r="N12" s="2" t="inlineStr">
        <x:is>
          <x:t xml:space="preserve">65738</x:t>
        </x:is>
      </x:c>
      <x:c r="O12" s="5" t="n">
        <x:v>975</x:v>
      </x:c>
      <x:c r="P12" s="2" t="inlineStr">
        <x:is>
          <x:t xml:space="preserve">2023</x:t>
        </x:is>
      </x:c>
      <x:c r="Q12" s="2" t="inlineStr">
        <x:is>
          <x:t xml:space="preserve">Domaine Pierre Vincent</x:t>
        </x:is>
      </x:c>
      <x:c r="R12" s="3" t="n">
        <x:v>1</x:v>
      </x:c>
      <x:c r="S12" s="3" t="n">
        <x:v>93</x:v>
      </x:c>
      <x:c r="T12" s="3" t="n">
        <x:v>3</x:v>
      </x:c>
      <x:c r="U12" s="5" t="n">
        <x:v>3.23</x:v>
      </x:c>
      <x:c r="V12" s="5" t="n">
        <x:v>17148.2962072155412</x:v>
      </x:c>
      <x:c r="W12" s="3" t="n">
        <x:f>FALSE()</x:f>
        <x:v>0</x:v>
      </x:c>
    </x:row>
    <x:row r="13">
      <x:c r="A13" s="2" t="inlineStr">
        <x:is>
          <x:t xml:space="preserve">Last month</x:t>
        </x:is>
      </x:c>
      <x:c r="B13" s="2" t="inlineStr">
        <x:is>
          <x:t xml:space="preserve">01.10.25 00:00..31.10.25 23:59</x:t>
        </x:is>
      </x:c>
      <x:c r="C13" s="2" t="inlineStr">
        <x:is>
          <x:t xml:space="preserve">Campaign Sales Statistics is being updated.</x:t>
        </x:is>
      </x:c>
      <x:c r="D13" s="2" t="inlineStr">
        <x:is>
          <x:t xml:space="preserve">Campaign Sales Statistics updated at: 03.11.25 15:31</x:t>
        </x:is>
      </x:c>
      <x:c r="E13" s="2" t="inlineStr">
        <x:is>
          <x:t xml:space="preserve">CM-25-02976</x:t>
        </x:is>
      </x:c>
      <x:c r="F13" s="2" t="inlineStr">
        <x:is>
          <x:t xml:space="preserve">Bélair-Monange 2020 -(3/4)- bght st. emilion&gt;80</x:t>
        </x:is>
      </x:c>
      <x:c r="G13" s="2" t="inlineStr">
        <x:is>
          <x:t xml:space="preserve">PRIVATE</x:t>
        </x:is>
      </x:c>
      <x:c r="H13" s="2" t="inlineStr">
        <x:is>
          <x:t xml:space="preserve">Normal</x:t>
        </x:is>
      </x:c>
      <x:c r="I13" s="3" t="n">
        <x:f>FALSE()</x:f>
        <x:v>0</x:v>
      </x:c>
      <x:c r="J13" s="4" t="n">
        <x:v>45959.614583333336</x:v>
      </x:c>
      <x:c r="K13" s="3" t="n">
        <x:v>1</x:v>
      </x:c>
      <x:c r="L13" s="2" t="inlineStr">
        <x:is>
          <x:t xml:space="preserve">1246</x:t>
        </x:is>
      </x:c>
      <x:c r="M13" s="2" t="inlineStr">
        <x:is>
          <x:t xml:space="preserve">Belair Monange</x:t>
        </x:is>
      </x:c>
      <x:c r="N13" s="2" t="inlineStr">
        <x:is>
          <x:t xml:space="preserve">53980</x:t>
        </x:is>
      </x:c>
      <x:c r="O13" s="5" t="n">
        <x:v>135</x:v>
      </x:c>
      <x:c r="P13" s="2" t="inlineStr">
        <x:is>
          <x:t xml:space="preserve">2020</x:t>
        </x:is>
      </x:c>
      <x:c r="Q13" s="2" t="inlineStr">
        <x:is>
          <x:t xml:space="preserve">Château Bélair-Monange</x:t>
        </x:is>
      </x:c>
      <x:c r="R13" s="3" t="n">
        <x:v>1</x:v>
      </x:c>
      <x:c r="S13" s="3" t="n">
        <x:v>1023</x:v>
      </x:c>
      <x:c r="T13" s="3" t="n">
        <x:v>11</x:v>
      </x:c>
      <x:c r="U13" s="5" t="n">
        <x:v>1.08</x:v>
      </x:c>
      <x:c r="V13" s="5" t="n">
        <x:v>26466.933040624813</x:v>
      </x:c>
      <x:c r="W13" s="3" t="n">
        <x:f>FALSE()</x:f>
        <x:v>0</x:v>
      </x:c>
    </x:row>
    <x:row r="14">
      <x:c r="A14" s="2" t="inlineStr">
        <x:is>
          <x:t xml:space="preserve">Last month</x:t>
        </x:is>
      </x:c>
      <x:c r="B14" s="2" t="inlineStr">
        <x:is>
          <x:t xml:space="preserve">01.10.25 00:00..31.10.25 23:59</x:t>
        </x:is>
      </x:c>
      <x:c r="C14" s="2" t="inlineStr">
        <x:is>
          <x:t xml:space="preserve">Campaign Sales Statistics is being updated.</x:t>
        </x:is>
      </x:c>
      <x:c r="D14" s="2" t="inlineStr">
        <x:is>
          <x:t xml:space="preserve">Campaign Sales Statistics updated at: 03.11.25 15:31</x:t>
        </x:is>
      </x:c>
      <x:c r="E14" s="2" t="inlineStr">
        <x:is>
          <x:t xml:space="preserve">CM-25-02973</x:t>
        </x:is>
      </x:c>
      <x:c r="F14" s="2" t="inlineStr">
        <x:is>
          <x:t xml:space="preserve">Bélair-Monange 2020 -(2/4)- bght belair monange not 20</x:t>
        </x:is>
      </x:c>
      <x:c r="G14" s="2" t="inlineStr">
        <x:is>
          <x:t xml:space="preserve">PRIVATE</x:t>
        </x:is>
      </x:c>
      <x:c r="H14" s="2" t="inlineStr">
        <x:is>
          <x:t xml:space="preserve">Normal</x:t>
        </x:is>
      </x:c>
      <x:c r="I14" s="3" t="n">
        <x:f>FALSE()</x:f>
        <x:v>0</x:v>
      </x:c>
      <x:c r="J14" s="4" t="n">
        <x:v>45959.614583333336</x:v>
      </x:c>
      <x:c r="K14" s="3" t="n">
        <x:v>1</x:v>
      </x:c>
      <x:c r="L14" s="2" t="inlineStr">
        <x:is>
          <x:t xml:space="preserve">1246</x:t>
        </x:is>
      </x:c>
      <x:c r="M14" s="2" t="inlineStr">
        <x:is>
          <x:t xml:space="preserve">Belair Monange</x:t>
        </x:is>
      </x:c>
      <x:c r="N14" s="2" t="inlineStr">
        <x:is>
          <x:t xml:space="preserve">53980</x:t>
        </x:is>
      </x:c>
      <x:c r="O14" s="5" t="n">
        <x:v>135</x:v>
      </x:c>
      <x:c r="P14" s="2" t="inlineStr">
        <x:is>
          <x:t xml:space="preserve">2020</x:t>
        </x:is>
      </x:c>
      <x:c r="Q14" s="2" t="inlineStr">
        <x:is>
          <x:t xml:space="preserve">Château Bélair-Monange</x:t>
        </x:is>
      </x:c>
      <x:c r="R14" s="3" t="n">
        <x:v>1</x:v>
      </x:c>
      <x:c r="S14" s="3" t="n">
        <x:v>67</x:v>
      </x:c>
      <x:c r="T14" s="3" t="n">
        <x:v>1</x:v>
      </x:c>
      <x:c r="U14" s="5" t="n">
        <x:v>1.49</x:v>
      </x:c>
      <x:c r="V14" s="5" t="n">
        <x:v>794.051803885291398</x:v>
      </x:c>
      <x:c r="W14" s="3" t="n">
        <x:f>FALSE()</x:f>
        <x:v>0</x:v>
      </x:c>
    </x:row>
    <x:row r="15">
      <x:c r="A15" s="2" t="inlineStr">
        <x:is>
          <x:t xml:space="preserve">Last month</x:t>
        </x:is>
      </x:c>
      <x:c r="B15" s="2" t="inlineStr">
        <x:is>
          <x:t xml:space="preserve">01.10.25 00:00..31.10.25 23:59</x:t>
        </x:is>
      </x:c>
      <x:c r="C15" s="2" t="inlineStr">
        <x:is>
          <x:t xml:space="preserve">Campaign Sales Statistics is being updated.</x:t>
        </x:is>
      </x:c>
      <x:c r="D15" s="2" t="inlineStr">
        <x:is>
          <x:t xml:space="preserve">Campaign Sales Statistics updated at: 03.11.25 15:31</x:t>
        </x:is>
      </x:c>
      <x:c r="E15" s="2" t="inlineStr">
        <x:is>
          <x:t xml:space="preserve">CM-25-02971</x:t>
        </x:is>
      </x:c>
      <x:c r="F15" s="2" t="inlineStr">
        <x:is>
          <x:t xml:space="preserve">Bélair-Monange 2020 -(1/4)- bght dominus 16 &lt;3mths</x:t>
        </x:is>
      </x:c>
      <x:c r="G15" s="2" t="inlineStr">
        <x:is>
          <x:t xml:space="preserve">PRIVATE</x:t>
        </x:is>
      </x:c>
      <x:c r="H15" s="2" t="inlineStr">
        <x:is>
          <x:t xml:space="preserve">Normal</x:t>
        </x:is>
      </x:c>
      <x:c r="I15" s="3" t="n">
        <x:f>FALSE()</x:f>
        <x:v>0</x:v>
      </x:c>
      <x:c r="J15" s="4" t="n">
        <x:v>45959.614583333336</x:v>
      </x:c>
      <x:c r="K15" s="3" t="n">
        <x:v>2</x:v>
      </x:c>
      <x:c r="L15" s="2" t="inlineStr">
        <x:is>
          <x:t xml:space="preserve">1246</x:t>
        </x:is>
      </x:c>
      <x:c r="M15" s="2" t="inlineStr">
        <x:is>
          <x:t xml:space="preserve">Belair Monange</x:t>
        </x:is>
      </x:c>
      <x:c r="N15" s="2" t="inlineStr">
        <x:is>
          <x:t xml:space="preserve">53980</x:t>
        </x:is>
      </x:c>
      <x:c r="O15" s="5" t="n">
        <x:v>135</x:v>
      </x:c>
      <x:c r="P15" s="2" t="inlineStr">
        <x:is>
          <x:t xml:space="preserve">2020</x:t>
        </x:is>
      </x:c>
      <x:c r="Q15" s="2" t="inlineStr">
        <x:is>
          <x:t xml:space="preserve">Château Bélair-Monange</x:t>
        </x:is>
      </x:c>
      <x:c r="R15" s="3" t="n">
        <x:v>1</x:v>
      </x:c>
      <x:c r="S15" s="3" t="n">
        <x:v>731</x:v>
      </x:c>
      <x:c r="T15" s="3" t="n">
        <x:v>0</x:v>
      </x:c>
      <x:c r="U15" s="5" t="n">
        <x:v>0</x:v>
      </x:c>
      <x:c r="V15" s="5" t="n">
        <x:v>0</x:v>
      </x:c>
      <x:c r="W15" s="3" t="n">
        <x:f>FALSE()</x:f>
        <x:v>0</x:v>
      </x:c>
    </x:row>
    <x:row r="16">
      <x:c r="A16" s="2" t="inlineStr">
        <x:is>
          <x:t xml:space="preserve">Last month</x:t>
        </x:is>
      </x:c>
      <x:c r="B16" s="2" t="inlineStr">
        <x:is>
          <x:t xml:space="preserve">01.10.25 00:00..31.10.25 23:59</x:t>
        </x:is>
      </x:c>
      <x:c r="C16" s="2" t="inlineStr">
        <x:is>
          <x:t xml:space="preserve">Campaign Sales Statistics is being updated.</x:t>
        </x:is>
      </x:c>
      <x:c r="D16" s="2" t="inlineStr">
        <x:is>
          <x:t xml:space="preserve">Campaign Sales Statistics updated at: 03.11.25 15:31</x:t>
        </x:is>
      </x:c>
      <x:c r="E16" s="2" t="inlineStr">
        <x:is>
          <x:t xml:space="preserve">CM-25-02969</x:t>
        </x:is>
      </x:c>
      <x:c r="F16" s="2" t="inlineStr">
        <x:is>
          <x:t xml:space="preserve">Haut Marbuzet 2019 -(1/1)- AVG&lt;120 or BDX</x:t>
        </x:is>
      </x:c>
      <x:c r="G16" s="2" t="inlineStr">
        <x:is>
          <x:t xml:space="preserve">PRIVATE</x:t>
        </x:is>
      </x:c>
      <x:c r="H16" s="2" t="inlineStr">
        <x:is>
          <x:t xml:space="preserve">Normal</x:t>
        </x:is>
      </x:c>
      <x:c r="I16" s="3" t="n">
        <x:f>FALSE()</x:f>
        <x:v>0</x:v>
      </x:c>
      <x:c r="J16" s="4" t="n">
        <x:v>45959.43958333333</x:v>
      </x:c>
      <x:c r="K16" s="3" t="n">
        <x:v>1</x:v>
      </x:c>
      <x:c r="L16" s="2" t="inlineStr">
        <x:is>
          <x:t xml:space="preserve">1485</x:t>
        </x:is>
      </x:c>
      <x:c r="M16" s="2" t="inlineStr">
        <x:is>
          <x:t xml:space="preserve">Haut Marbuzet</x:t>
        </x:is>
      </x:c>
      <x:c r="N16" s="2" t="inlineStr">
        <x:is>
          <x:t xml:space="preserve">51407</x:t>
        </x:is>
      </x:c>
      <x:c r="O16" s="5" t="n">
        <x:v>33</x:v>
      </x:c>
      <x:c r="P16" s="2" t="inlineStr">
        <x:is>
          <x:t xml:space="preserve">2019</x:t>
        </x:is>
      </x:c>
      <x:c r="Q16" s="2" t="inlineStr">
        <x:is>
          <x:t xml:space="preserve">Château Haut Marbuzet</x:t>
        </x:is>
      </x:c>
      <x:c r="R16" s="3" t="n">
        <x:v>1</x:v>
      </x:c>
      <x:c r="S16" s="3" t="n">
        <x:v>2443</x:v>
      </x:c>
      <x:c r="T16" s="3" t="n">
        <x:v>15</x:v>
      </x:c>
      <x:c r="U16" s="5" t="n">
        <x:v>0.61</x:v>
      </x:c>
      <x:c r="V16" s="5" t="n">
        <x:v>5277.94057354301573</x:v>
      </x:c>
      <x:c r="W16" s="3" t="n">
        <x:f>FALSE()</x:f>
        <x:v>0</x:v>
      </x:c>
    </x:row>
    <x:row r="17">
      <x:c r="A17" s="2" t="inlineStr">
        <x:is>
          <x:t xml:space="preserve">Last month</x:t>
        </x:is>
      </x:c>
      <x:c r="B17" s="2" t="inlineStr">
        <x:is>
          <x:t xml:space="preserve">01.10.25 00:00..31.10.25 23:59</x:t>
        </x:is>
      </x:c>
      <x:c r="C17" s="2" t="inlineStr">
        <x:is>
          <x:t xml:space="preserve">Campaign Sales Statistics is being updated.</x:t>
        </x:is>
      </x:c>
      <x:c r="D17" s="2" t="inlineStr">
        <x:is>
          <x:t xml:space="preserve">Campaign Sales Statistics updated at: 03.11.25 15:31</x:t>
        </x:is>
      </x:c>
      <x:c r="E17" s="2" t="inlineStr">
        <x:is>
          <x:t xml:space="preserve">CM-25-02970</x:t>
        </x:is>
      </x:c>
      <x:c r="F17" s="2" t="inlineStr">
        <x:is>
          <x:t xml:space="preserve">Finca Piedra Gra 2021-(1/1)- delayed - bght 10x&gt;200 &amp; south america</x:t>
        </x:is>
      </x:c>
      <x:c r="G17" s="2" t="inlineStr">
        <x:is>
          <x:t xml:space="preserve">PRIVATE</x:t>
        </x:is>
      </x:c>
      <x:c r="H17" s="2" t="inlineStr">
        <x:is>
          <x:t xml:space="preserve">Normal</x:t>
        </x:is>
      </x:c>
      <x:c r="I17" s="3" t="n">
        <x:f>FALSE()</x:f>
        <x:v>0</x:v>
      </x:c>
      <x:c r="J17" s="4" t="n">
        <x:v>45959.4375</x:v>
      </x:c>
      <x:c r="K17" s="3" t="n">
        <x:v>1</x:v>
      </x:c>
      <x:c r="L17" s="2" t="inlineStr">
        <x:is>
          <x:t xml:space="preserve">10861</x:t>
        </x:is>
      </x:c>
      <x:c r="M17" s="2" t="inlineStr">
        <x:is>
          <x:t xml:space="preserve">Finca Piedra Infinita Gravascal</x:t>
        </x:is>
      </x:c>
      <x:c r="N17" s="2" t="inlineStr">
        <x:is>
          <x:t xml:space="preserve">65732</x:t>
        </x:is>
      </x:c>
      <x:c r="O17" s="5" t="n">
        <x:v>230</x:v>
      </x:c>
      <x:c r="P17" s="2" t="inlineStr">
        <x:is>
          <x:t xml:space="preserve">2021</x:t>
        </x:is>
      </x:c>
      <x:c r="Q17" s="2" t="inlineStr">
        <x:is>
          <x:t xml:space="preserve">Familia Zuccardi</x:t>
        </x:is>
      </x:c>
      <x:c r="R17" s="3" t="n">
        <x:v>1</x:v>
      </x:c>
      <x:c r="S17" s="3" t="n">
        <x:v>82</x:v>
      </x:c>
      <x:c r="T17" s="3" t="n">
        <x:v>11</x:v>
      </x:c>
      <x:c r="U17" s="5" t="n">
        <x:v>13.41</x:v>
      </x:c>
      <x:c r="V17" s="5" t="n">
        <x:v>12244.1954024051804</x:v>
      </x:c>
      <x:c r="W17" s="3" t="n">
        <x:f>TRUE()</x:f>
        <x:v>1</x:v>
      </x:c>
    </x:row>
    <x:row r="18">
      <x:c r="A18" s="2" t="inlineStr">
        <x:is>
          <x:t xml:space="preserve">Last month</x:t>
        </x:is>
      </x:c>
      <x:c r="B18" s="2" t="inlineStr">
        <x:is>
          <x:t xml:space="preserve">01.10.25 00:00..31.10.25 23:59</x:t>
        </x:is>
      </x:c>
      <x:c r="C18" s="2" t="inlineStr">
        <x:is>
          <x:t xml:space="preserve">Campaign Sales Statistics is being updated.</x:t>
        </x:is>
      </x:c>
      <x:c r="D18" s="2" t="inlineStr">
        <x:is>
          <x:t xml:space="preserve">Campaign Sales Statistics updated at: 03.11.25 15:31</x:t>
        </x:is>
      </x:c>
      <x:c r="E18" s="2" t="inlineStr">
        <x:is>
          <x:t xml:space="preserve">CM-25-02972</x:t>
        </x:is>
      </x:c>
      <x:c r="F18" s="2" t="inlineStr">
        <x:is>
          <x:t xml:space="preserve">DD_Finca Piedra Infinita 2021 -(1/1)- bght South Am &amp; bght &lt;100 </x:t>
        </x:is>
      </x:c>
      <x:c r="G18" s="2" t="inlineStr">
        <x:is>
          <x:t xml:space="preserve">PRIVATE</x:t>
        </x:is>
      </x:c>
      <x:c r="H18" s="2" t="inlineStr">
        <x:is>
          <x:t xml:space="preserve">Normal</x:t>
        </x:is>
      </x:c>
      <x:c r="I18" s="3" t="n">
        <x:f>FALSE()</x:f>
        <x:v>0</x:v>
      </x:c>
      <x:c r="J18" s="4" t="n">
        <x:v>45959.42013888889</x:v>
      </x:c>
      <x:c r="K18" s="3" t="n">
        <x:v>1</x:v>
      </x:c>
      <x:c r="L18" s="2" t="inlineStr">
        <x:is>
          <x:t xml:space="preserve">44007</x:t>
        </x:is>
      </x:c>
      <x:c r="M18" s="2" t="inlineStr">
        <x:is>
          <x:t xml:space="preserve">Finca Piedra Infinita</x:t>
        </x:is>
      </x:c>
      <x:c r="N18" s="2" t="inlineStr">
        <x:is>
          <x:t xml:space="preserve">65731</x:t>
        </x:is>
      </x:c>
      <x:c r="O18" s="5" t="n">
        <x:v>86</x:v>
      </x:c>
      <x:c r="P18" s="2" t="inlineStr">
        <x:is>
          <x:t xml:space="preserve">2021</x:t>
        </x:is>
      </x:c>
      <x:c r="Q18" s="2" t="inlineStr">
        <x:is>
          <x:t xml:space="preserve">Familia Zuccardi</x:t>
        </x:is>
      </x:c>
      <x:c r="R18" s="3" t="n">
        <x:v>1</x:v>
      </x:c>
      <x:c r="S18" s="3" t="n">
        <x:v>73</x:v>
      </x:c>
      <x:c r="T18" s="3" t="n">
        <x:v>2</x:v>
      </x:c>
      <x:c r="U18" s="5" t="n">
        <x:v>2.74</x:v>
      </x:c>
      <x:c r="V18" s="5" t="n">
        <x:v>755.411655874190565</x:v>
      </x:c>
      <x:c r="W18" s="3" t="n">
        <x:f>TRUE()</x:f>
        <x:v>1</x:v>
      </x:c>
    </x:row>
    <x:row r="19">
      <x:c r="A19" s="2" t="inlineStr">
        <x:is>
          <x:t xml:space="preserve">Last month</x:t>
        </x:is>
      </x:c>
      <x:c r="B19" s="2" t="inlineStr">
        <x:is>
          <x:t xml:space="preserve">01.10.25 00:00..31.10.25 23:59</x:t>
        </x:is>
      </x:c>
      <x:c r="C19" s="2" t="inlineStr">
        <x:is>
          <x:t xml:space="preserve">Campaign Sales Statistics is being updated.</x:t>
        </x:is>
      </x:c>
      <x:c r="D19" s="2" t="inlineStr">
        <x:is>
          <x:t xml:space="preserve">Campaign Sales Statistics updated at: 03.11.25 15:31</x:t>
        </x:is>
      </x:c>
      <x:c r="E19" s="2" t="inlineStr">
        <x:is>
          <x:t xml:space="preserve">CM-25-02962</x:t>
        </x:is>
      </x:c>
      <x:c r="F19" s="2" t="inlineStr">
        <x:is>
          <x:t xml:space="preserve">Barolo Gran Bussia -(1/4)- bght Monfortino</x:t>
        </x:is>
      </x:c>
      <x:c r="G19" s="2" t="inlineStr">
        <x:is>
          <x:t xml:space="preserve">PRIVATE</x:t>
        </x:is>
      </x:c>
      <x:c r="H19" s="2" t="inlineStr">
        <x:is>
          <x:t xml:space="preserve">Normal</x:t>
        </x:is>
      </x:c>
      <x:c r="I19" s="3" t="n">
        <x:f>FALSE()</x:f>
        <x:v>0</x:v>
      </x:c>
      <x:c r="J19" s="4" t="n">
        <x:v>45958.73125</x:v>
      </x:c>
      <x:c r="K19" s="3" t="n">
        <x:v>4</x:v>
      </x:c>
      <x:c r="L19" s="2" t="inlineStr">
        <x:is>
          <x:t xml:space="preserve">5721</x:t>
        </x:is>
      </x:c>
      <x:c r="M19" s="2" t="inlineStr">
        <x:is>
          <x:t xml:space="preserve">Barolo Gran Bussia Riserva</x:t>
        </x:is>
      </x:c>
      <x:c r="N19" s="2" t="inlineStr">
        <x:is>
          <x:t xml:space="preserve">9502</x:t>
        </x:is>
      </x:c>
      <x:c r="O19" s="5" t="n">
        <x:v>595</x:v>
      </x:c>
      <x:c r="P19" s="2" t="inlineStr">
        <x:is>
          <x:t xml:space="preserve">2005</x:t>
        </x:is>
      </x:c>
      <x:c r="Q19" s="2" t="inlineStr">
        <x:is>
          <x:t xml:space="preserve">Poderi Aldo Conterno</x:t>
        </x:is>
      </x:c>
      <x:c r="R19" s="3" t="n">
        <x:v>1</x:v>
      </x:c>
      <x:c r="S19" s="3" t="n">
        <x:v>1072</x:v>
      </x:c>
      <x:c r="T19" s="3" t="n">
        <x:v>10</x:v>
      </x:c>
      <x:c r="U19" s="5" t="n">
        <x:v>0.93</x:v>
      </x:c>
      <x:c r="V19" s="5" t="n">
        <x:v>45704.4609992130007</x:v>
      </x:c>
      <x:c r="W19" s="3" t="n">
        <x:f>FALSE()</x:f>
        <x:v>0</x:v>
      </x:c>
    </x:row>
    <x:row r="20">
      <x:c r="A20" s="2" t="inlineStr">
        <x:is>
          <x:t xml:space="preserve">Last month</x:t>
        </x:is>
      </x:c>
      <x:c r="B20" s="2" t="inlineStr">
        <x:is>
          <x:t xml:space="preserve">01.10.25 00:00..31.10.25 23:59</x:t>
        </x:is>
      </x:c>
      <x:c r="C20" s="2" t="inlineStr">
        <x:is>
          <x:t xml:space="preserve">Campaign Sales Statistics is being updated.</x:t>
        </x:is>
      </x:c>
      <x:c r="D20" s="2" t="inlineStr">
        <x:is>
          <x:t xml:space="preserve">Campaign Sales Statistics updated at: 03.11.25 15:31</x:t>
        </x:is>
      </x:c>
      <x:c r="E20" s="2" t="inlineStr">
        <x:is>
          <x:t xml:space="preserve">CM-25-02950</x:t>
        </x:is>
      </x:c>
      <x:c r="F20" s="2" t="inlineStr">
        <x:is>
          <x:t xml:space="preserve">Penfolds Grange 2019 -(1/3)- bght grange </x:t>
        </x:is>
      </x:c>
      <x:c r="G20" s="2" t="inlineStr">
        <x:is>
          <x:t xml:space="preserve">PRIVATE</x:t>
        </x:is>
      </x:c>
      <x:c r="H20" s="2" t="inlineStr">
        <x:is>
          <x:t xml:space="preserve">Normal</x:t>
        </x:is>
      </x:c>
      <x:c r="I20" s="3" t="n">
        <x:f>FALSE()</x:f>
        <x:v>0</x:v>
      </x:c>
      <x:c r="J20" s="4" t="n">
        <x:v>45958.68958333333</x:v>
      </x:c>
      <x:c r="K20" s="3" t="n">
        <x:v>6</x:v>
      </x:c>
      <x:c r="L20" s="2" t="inlineStr">
        <x:is>
          <x:t xml:space="preserve">3949</x:t>
        </x:is>
      </x:c>
      <x:c r="M20" s="2" t="inlineStr">
        <x:is>
          <x:t xml:space="preserve">Grange</x:t>
        </x:is>
      </x:c>
      <x:c r="N20" s="2" t="inlineStr">
        <x:is>
          <x:t xml:space="preserve">59604</x:t>
        </x:is>
      </x:c>
      <x:c r="O20" s="5" t="n">
        <x:v>380</x:v>
      </x:c>
      <x:c r="P20" s="2" t="inlineStr">
        <x:is>
          <x:t xml:space="preserve">2019</x:t>
        </x:is>
      </x:c>
      <x:c r="Q20" s="2" t="inlineStr">
        <x:is>
          <x:t xml:space="preserve">Penfolds</x:t>
        </x:is>
      </x:c>
      <x:c r="R20" s="3" t="n">
        <x:v>1</x:v>
      </x:c>
      <x:c r="S20" s="3" t="n">
        <x:v>1638</x:v>
      </x:c>
      <x:c r="T20" s="3" t="n">
        <x:v>34</x:v>
      </x:c>
      <x:c r="U20" s="5" t="n">
        <x:v>2.08</x:v>
      </x:c>
      <x:c r="V20" s="5" t="n">
        <x:v>134221.318361936847</x:v>
      </x:c>
      <x:c r="W20" s="3" t="n">
        <x:f>FALSE()</x:f>
        <x:v>0</x:v>
      </x:c>
    </x:row>
    <x:row r="21">
      <x:c r="A21" s="2" t="inlineStr">
        <x:is>
          <x:t xml:space="preserve">Last month</x:t>
        </x:is>
      </x:c>
      <x:c r="B21" s="2" t="inlineStr">
        <x:is>
          <x:t xml:space="preserve">01.10.25 00:00..31.10.25 23:59</x:t>
        </x:is>
      </x:c>
      <x:c r="C21" s="2" t="inlineStr">
        <x:is>
          <x:t xml:space="preserve">Campaign Sales Statistics is being updated.</x:t>
        </x:is>
      </x:c>
      <x:c r="D21" s="2" t="inlineStr">
        <x:is>
          <x:t xml:space="preserve">Campaign Sales Statistics updated at: 03.11.25 15:31</x:t>
        </x:is>
      </x:c>
      <x:c r="E21" s="2" t="inlineStr">
        <x:is>
          <x:t xml:space="preserve">CM-25-02954</x:t>
        </x:is>
      </x:c>
      <x:c r="F21" s="2" t="inlineStr">
        <x:is>
          <x:t xml:space="preserve">Sassicaia 2022 -(1/3)- bght sassicaia Not 22</x:t>
        </x:is>
      </x:c>
      <x:c r="G21" s="2" t="inlineStr">
        <x:is>
          <x:t xml:space="preserve">PRIVATE</x:t>
        </x:is>
      </x:c>
      <x:c r="H21" s="2" t="inlineStr">
        <x:is>
          <x:t xml:space="preserve">Normal</x:t>
        </x:is>
      </x:c>
      <x:c r="I21" s="3" t="n">
        <x:f>FALSE()</x:f>
        <x:v>0</x:v>
      </x:c>
      <x:c r="J21" s="4" t="n">
        <x:v>45958.50657230324</x:v>
      </x:c>
      <x:c r="K21" s="3" t="n">
        <x:v>4</x:v>
      </x:c>
      <x:c r="L21" s="2" t="inlineStr">
        <x:is>
          <x:t xml:space="preserve">2584</x:t>
        </x:is>
      </x:c>
      <x:c r="M21" s="2" t="inlineStr">
        <x:is>
          <x:t xml:space="preserve">Sassicaia</x:t>
        </x:is>
      </x:c>
      <x:c r="N21" s="2" t="inlineStr">
        <x:is>
          <x:t xml:space="preserve">62850</x:t>
        </x:is>
      </x:c>
      <x:c r="O21" s="5" t="n">
        <x:v>205</x:v>
      </x:c>
      <x:c r="P21" s="2" t="inlineStr">
        <x:is>
          <x:t xml:space="preserve">2022</x:t>
        </x:is>
      </x:c>
      <x:c r="Q21" s="2" t="inlineStr">
        <x:is>
          <x:t xml:space="preserve">Tenuta San Guido</x:t>
        </x:is>
      </x:c>
      <x:c r="R21" s="3" t="n">
        <x:v>1</x:v>
      </x:c>
      <x:c r="S21" s="3" t="n">
        <x:v>2393</x:v>
      </x:c>
      <x:c r="T21" s="3" t="n">
        <x:v>33</x:v>
      </x:c>
      <x:c r="U21" s="5" t="n">
        <x:v>1.38</x:v>
      </x:c>
      <x:c r="V21" s="5" t="n">
        <x:v>62647.2144393205112</x:v>
      </x:c>
      <x:c r="W21" s="3" t="n">
        <x:f>FALSE()</x:f>
        <x:v>0</x:v>
      </x:c>
    </x:row>
    <x:row r="22">
      <x:c r="A22" s="2" t="inlineStr">
        <x:is>
          <x:t xml:space="preserve">Last month</x:t>
        </x:is>
      </x:c>
      <x:c r="B22" s="2" t="inlineStr">
        <x:is>
          <x:t xml:space="preserve">01.10.25 00:00..31.10.25 23:59</x:t>
        </x:is>
      </x:c>
      <x:c r="C22" s="2" t="inlineStr">
        <x:is>
          <x:t xml:space="preserve">Campaign Sales Statistics is being updated.</x:t>
        </x:is>
      </x:c>
      <x:c r="D22" s="2" t="inlineStr">
        <x:is>
          <x:t xml:space="preserve">Campaign Sales Statistics updated at: 03.11.25 15:31</x:t>
        </x:is>
      </x:c>
      <x:c r="E22" s="2" t="inlineStr">
        <x:is>
          <x:t xml:space="preserve">CM-25-02941</x:t>
        </x:is>
      </x:c>
      <x:c r="F22" s="2" t="inlineStr">
        <x:is>
          <x:t xml:space="preserve">Carmes HB 21 - bought from Bankrupt Co list</x:t>
        </x:is>
      </x:c>
      <x:c r="G22" s="2" t="inlineStr">
        <x:is>
          <x:t xml:space="preserve">PRIVATE</x:t>
        </x:is>
      </x:c>
      <x:c r="H22" s="2" t="inlineStr">
        <x:is>
          <x:t xml:space="preserve">Normal</x:t>
        </x:is>
      </x:c>
      <x:c r="I22" s="3" t="n">
        <x:f>FALSE()</x:f>
        <x:v>0</x:v>
      </x:c>
      <x:c r="J22" s="4" t="n">
        <x:v>45957.62222222222</x:v>
      </x:c>
      <x:c r="K22" s="3" t="n">
        <x:v>4</x:v>
      </x:c>
      <x:c r="L22" s="2" t="inlineStr">
        <x:is>
          <x:t xml:space="preserve">1626</x:t>
        </x:is>
      </x:c>
      <x:c r="M22" s="2" t="inlineStr">
        <x:is>
          <x:t xml:space="preserve">Les Carmes Haut Brion</x:t>
        </x:is>
      </x:c>
      <x:c r="N22" s="2" t="inlineStr">
        <x:is>
          <x:t xml:space="preserve">55676</x:t>
        </x:is>
      </x:c>
      <x:c r="O22" s="5" t="n">
        <x:v>85</x:v>
      </x:c>
      <x:c r="P22" s="2" t="inlineStr">
        <x:is>
          <x:t xml:space="preserve">2021</x:t>
        </x:is>
      </x:c>
      <x:c r="Q22" s="2" t="inlineStr">
        <x:is>
          <x:t xml:space="preserve">Château Les Carmes Haut-Brion</x:t>
        </x:is>
      </x:c>
      <x:c r="R22" s="3" t="n">
        <x:v>1</x:v>
      </x:c>
      <x:c r="S22" s="3" t="n">
        <x:v>2209</x:v>
      </x:c>
      <x:c r="T22" s="3" t="n">
        <x:v>23</x:v>
      </x:c>
      <x:c r="U22" s="5" t="n">
        <x:v>1.04</x:v>
      </x:c>
      <x:c r="V22" s="5" t="n">
        <x:v>20031.8646901017576</x:v>
      </x:c>
      <x:c r="W22" s="3" t="n">
        <x:f>FALSE()</x:f>
        <x:v>0</x:v>
      </x:c>
    </x:row>
    <x:row r="23">
      <x:c r="A23" s="2" t="inlineStr">
        <x:is>
          <x:t xml:space="preserve">Last month</x:t>
        </x:is>
      </x:c>
      <x:c r="B23" s="2" t="inlineStr">
        <x:is>
          <x:t xml:space="preserve">01.10.25 00:00..31.10.25 23:59</x:t>
        </x:is>
      </x:c>
      <x:c r="C23" s="2" t="inlineStr">
        <x:is>
          <x:t xml:space="preserve">Campaign Sales Statistics is being updated.</x:t>
        </x:is>
      </x:c>
      <x:c r="D23" s="2" t="inlineStr">
        <x:is>
          <x:t xml:space="preserve">Campaign Sales Statistics updated at: 03.11.25 15:31</x:t>
        </x:is>
      </x:c>
      <x:c r="E23" s="2" t="inlineStr">
        <x:is>
          <x:t xml:space="preserve">CM-25-02938</x:t>
        </x:is>
      </x:c>
      <x:c r="F23" s="2" t="inlineStr">
        <x:is>
          <x:t xml:space="preserve">Barolo Cannubi 2019 - bought piem &lt;100</x:t>
        </x:is>
      </x:c>
      <x:c r="G23" s="2" t="inlineStr">
        <x:is>
          <x:t xml:space="preserve">PRIVATE</x:t>
        </x:is>
      </x:c>
      <x:c r="H23" s="2" t="inlineStr">
        <x:is>
          <x:t xml:space="preserve">Normal</x:t>
        </x:is>
      </x:c>
      <x:c r="I23" s="3" t="n">
        <x:f>FALSE()</x:f>
        <x:v>0</x:v>
      </x:c>
      <x:c r="J23" s="4" t="n">
        <x:v>45957.458333333336</x:v>
      </x:c>
      <x:c r="K23" s="3" t="n">
        <x:v>3</x:v>
      </x:c>
      <x:c r="L23" s="2" t="inlineStr">
        <x:is>
          <x:t xml:space="preserve">40169</x:t>
        </x:is>
      </x:c>
      <x:c r="M23" s="2" t="inlineStr">
        <x:is>
          <x:t xml:space="preserve">Barolo Cannubi</x:t>
        </x:is>
      </x:c>
      <x:c r="N23" s="2" t="inlineStr">
        <x:is>
          <x:t xml:space="preserve">59346</x:t>
        </x:is>
      </x:c>
      <x:c r="O23" s="5" t="n">
        <x:v>64</x:v>
      </x:c>
      <x:c r="P23" s="2" t="inlineStr">
        <x:is>
          <x:t xml:space="preserve">2019</x:t>
        </x:is>
      </x:c>
      <x:c r="Q23" s="2" t="inlineStr">
        <x:is>
          <x:t xml:space="preserve">Damilano Azienda Agricola</x:t>
        </x:is>
      </x:c>
      <x:c r="R23" s="3" t="n">
        <x:v>1</x:v>
      </x:c>
      <x:c r="S23" s="3" t="n">
        <x:v>3124</x:v>
      </x:c>
      <x:c r="T23" s="3" t="n">
        <x:v>24</x:v>
      </x:c>
      <x:c r="U23" s="5" t="n">
        <x:v>0.77</x:v>
      </x:c>
      <x:c r="V23" s="5" t="n">
        <x:v>14516.5405928728237</x:v>
      </x:c>
      <x:c r="W23" s="3" t="n">
        <x:f>FALSE()</x:f>
        <x:v>0</x:v>
      </x:c>
    </x:row>
    <x:row r="24">
      <x:c r="A24" s="2" t="inlineStr">
        <x:is>
          <x:t xml:space="preserve">Last month</x:t>
        </x:is>
      </x:c>
      <x:c r="B24" s="2" t="inlineStr">
        <x:is>
          <x:t xml:space="preserve">01.10.25 00:00..31.10.25 23:59</x:t>
        </x:is>
      </x:c>
      <x:c r="C24" s="2" t="inlineStr">
        <x:is>
          <x:t xml:space="preserve">Campaign Sales Statistics is being updated.</x:t>
        </x:is>
      </x:c>
      <x:c r="D24" s="2" t="inlineStr">
        <x:is>
          <x:t xml:space="preserve">Campaign Sales Statistics updated at: 03.11.25 15:31</x:t>
        </x:is>
      </x:c>
      <x:c r="E24" s="2" t="inlineStr">
        <x:is>
          <x:t xml:space="preserve">CM-25-02934</x:t>
        </x:is>
      </x:c>
      <x:c r="F24" s="2" t="inlineStr">
        <x:is>
          <x:t xml:space="preserve">DRC Romanée Conti 2009-(1/1)-100m+ nwht OR bght&gt; 3k+</x:t>
        </x:is>
      </x:c>
      <x:c r="G24" s="2" t="inlineStr">
        <x:is>
          <x:t xml:space="preserve">PRIVATE</x:t>
        </x:is>
      </x:c>
      <x:c r="H24" s="2" t="inlineStr">
        <x:is>
          <x:t xml:space="preserve">Normal</x:t>
        </x:is>
      </x:c>
      <x:c r="I24" s="3" t="n">
        <x:f>FALSE()</x:f>
        <x:v>0</x:v>
      </x:c>
      <x:c r="J24" s="4" t="n">
        <x:v>45956.709027777775</x:v>
      </x:c>
      <x:c r="K24" s="3" t="n">
        <x:v>1</x:v>
      </x:c>
      <x:c r="L24" s="2" t="inlineStr">
        <x:is>
          <x:t xml:space="preserve">2282</x:t>
        </x:is>
      </x:c>
      <x:c r="M24" s="2" t="inlineStr">
        <x:is>
          <x:t xml:space="preserve">DRC Romanée Conti</x:t>
        </x:is>
      </x:c>
      <x:c r="N24" s="2" t="inlineStr">
        <x:is>
          <x:t xml:space="preserve">22877</x:t>
        </x:is>
      </x:c>
      <x:c r="O24" s="5" t="n">
        <x:v>27000</x:v>
      </x:c>
      <x:c r="P24" s="2" t="inlineStr">
        <x:is>
          <x:t xml:space="preserve">2009</x:t>
        </x:is>
      </x:c>
      <x:c r="Q24" s="2" t="inlineStr">
        <x:is>
          <x:t xml:space="preserve">Domaine de la Romanée Conti</x:t>
        </x:is>
      </x:c>
      <x:c r="R24" s="3" t="n">
        <x:v>1</x:v>
      </x:c>
      <x:c r="S24" s="3" t="n">
        <x:v>414</x:v>
      </x:c>
      <x:c r="T24" s="3" t="n">
        <x:v>0</x:v>
      </x:c>
      <x:c r="U24" s="5" t="n">
        <x:v>0</x:v>
      </x:c>
      <x:c r="V24" s="5" t="n">
        <x:v>0</x:v>
      </x:c>
      <x:c r="W24" s="3" t="n">
        <x:f>FALSE()</x:f>
        <x:v>0</x:v>
      </x:c>
    </x:row>
    <x:row r="25">
      <x:c r="A25" s="2" t="inlineStr">
        <x:is>
          <x:t xml:space="preserve">Last month</x:t>
        </x:is>
      </x:c>
      <x:c r="B25" s="2" t="inlineStr">
        <x:is>
          <x:t xml:space="preserve">01.10.25 00:00..31.10.25 23:59</x:t>
        </x:is>
      </x:c>
      <x:c r="C25" s="2" t="inlineStr">
        <x:is>
          <x:t xml:space="preserve">Campaign Sales Statistics is being updated.</x:t>
        </x:is>
      </x:c>
      <x:c r="D25" s="2" t="inlineStr">
        <x:is>
          <x:t xml:space="preserve">Campaign Sales Statistics updated at: 03.11.25 15:31</x:t>
        </x:is>
      </x:c>
      <x:c r="E25" s="2" t="inlineStr">
        <x:is>
          <x:t xml:space="preserve">CM-25-02935</x:t>
        </x:is>
      </x:c>
      <x:c r="F25" s="2" t="inlineStr">
        <x:is>
          <x:t xml:space="preserve">HORECA: Sette 2022-(1/1)- Active</x:t>
        </x:is>
      </x:c>
      <x:c r="G25" s="2" t="inlineStr">
        <x:is>
          <x:t xml:space="preserve">HORECA</x:t>
        </x:is>
      </x:c>
      <x:c r="H25" s="2" t="inlineStr">
        <x:is>
          <x:t xml:space="preserve">Normal</x:t>
        </x:is>
      </x:c>
      <x:c r="I25" s="3" t="n">
        <x:f>FALSE()</x:f>
        <x:v>0</x:v>
      </x:c>
      <x:c r="J25" s="4" t="n">
        <x:v>45956.416666666664</x:v>
      </x:c>
      <x:c r="K25" s="3" t="n">
        <x:v>1</x:v>
      </x:c>
      <x:c r="L25" s="2" t="inlineStr">
        <x:is>
          <x:t xml:space="preserve">44028</x:t>
        </x:is>
      </x:c>
      <x:c r="M25" s="2" t="inlineStr">
        <x:is>
          <x:t xml:space="preserve">Sette</x:t>
        </x:is>
      </x:c>
      <x:c r="N25" s="2" t="inlineStr">
        <x:is>
          <x:t xml:space="preserve">61839</x:t>
        </x:is>
      </x:c>
      <x:c r="O25" s="5" t="n">
        <x:v>75</x:v>
      </x:c>
      <x:c r="P25" s="2" t="inlineStr">
        <x:is>
          <x:t xml:space="preserve">2022</x:t>
        </x:is>
      </x:c>
      <x:c r="Q25" s="2" t="inlineStr">
        <x:is>
          <x:t xml:space="preserve">Tenuta Sette Ponti</x:t>
        </x:is>
      </x:c>
      <x:c r="R25" s="3" t="n">
        <x:v>1</x:v>
      </x:c>
      <x:c r="S25" s="3" t="n">
        <x:v>283</x:v>
      </x:c>
      <x:c r="T25" s="3" t="n">
        <x:v>4</x:v>
      </x:c>
      <x:c r="U25" s="5" t="n">
        <x:v>1.41</x:v>
      </x:c>
      <x:c r="V25" s="5" t="n">
        <x:v>2605.19599044555208</x:v>
      </x:c>
      <x:c r="W25" s="3" t="n">
        <x:f>FALSE()</x:f>
        <x:v>0</x:v>
      </x:c>
    </x:row>
    <x:row r="26">
      <x:c r="A26" s="2" t="inlineStr">
        <x:is>
          <x:t xml:space="preserve">Last month</x:t>
        </x:is>
      </x:c>
      <x:c r="B26" s="2" t="inlineStr">
        <x:is>
          <x:t xml:space="preserve">01.10.25 00:00..31.10.25 23:59</x:t>
        </x:is>
      </x:c>
      <x:c r="C26" s="2" t="inlineStr">
        <x:is>
          <x:t xml:space="preserve">Campaign Sales Statistics is being updated.</x:t>
        </x:is>
      </x:c>
      <x:c r="D26" s="2" t="inlineStr">
        <x:is>
          <x:t xml:space="preserve">Campaign Sales Statistics updated at: 03.11.25 15:31</x:t>
        </x:is>
      </x:c>
      <x:c r="E26" s="2" t="inlineStr">
        <x:is>
          <x:t xml:space="preserve">CM-25-02931</x:t>
        </x:is>
      </x:c>
      <x:c r="F26" s="2" t="inlineStr">
        <x:is>
          <x:t xml:space="preserve">Lafleur 2022-(1/1)-bght&gt;1000</x:t>
        </x:is>
      </x:c>
      <x:c r="G26" s="2" t="inlineStr">
        <x:is>
          <x:t xml:space="preserve">PRIVATE</x:t>
        </x:is>
      </x:c>
      <x:c r="H26" s="2" t="inlineStr">
        <x:is>
          <x:t xml:space="preserve">Normal</x:t>
        </x:is>
      </x:c>
      <x:c r="I26" s="3" t="n">
        <x:f>FALSE()</x:f>
        <x:v>0</x:v>
      </x:c>
      <x:c r="J26" s="4" t="n">
        <x:v>45955.73125</x:v>
      </x:c>
      <x:c r="K26" s="3" t="n">
        <x:v>1</x:v>
      </x:c>
      <x:c r="L26" s="2" t="inlineStr">
        <x:is>
          <x:t xml:space="preserve">1582</x:t>
        </x:is>
      </x:c>
      <x:c r="M26" s="2" t="inlineStr">
        <x:is>
          <x:t xml:space="preserve">Lafleur</x:t>
        </x:is>
      </x:c>
      <x:c r="N26" s="2" t="inlineStr">
        <x:is>
          <x:t xml:space="preserve">57067</x:t>
        </x:is>
      </x:c>
      <x:c r="O26" s="5" t="n">
        <x:v>1250</x:v>
      </x:c>
      <x:c r="P26" s="2" t="inlineStr">
        <x:is>
          <x:t xml:space="preserve">2022</x:t>
        </x:is>
      </x:c>
      <x:c r="Q26" s="2" t="inlineStr">
        <x:is>
          <x:t xml:space="preserve">Château Lafleur</x:t>
        </x:is>
      </x:c>
      <x:c r="R26" s="3" t="n">
        <x:v>1</x:v>
      </x:c>
      <x:c r="S26" s="3" t="n">
        <x:v>500</x:v>
      </x:c>
      <x:c r="T26" s="3" t="n">
        <x:v>6</x:v>
      </x:c>
      <x:c r="U26" s="5" t="n">
        <x:v>1.2</x:v>
      </x:c>
      <x:c r="V26" s="5" t="n">
        <x:v>69318.3124699352452</x:v>
      </x:c>
      <x:c r="W26" s="3" t="n">
        <x:f>FALSE()</x:f>
        <x:v>0</x:v>
      </x:c>
    </x:row>
    <x:row r="27">
      <x:c r="A27" s="2" t="inlineStr">
        <x:is>
          <x:t xml:space="preserve">Last month</x:t>
        </x:is>
      </x:c>
      <x:c r="B27" s="2" t="inlineStr">
        <x:is>
          <x:t xml:space="preserve">01.10.25 00:00..31.10.25 23:59</x:t>
        </x:is>
      </x:c>
      <x:c r="C27" s="2" t="inlineStr">
        <x:is>
          <x:t xml:space="preserve">Campaign Sales Statistics is being updated.</x:t>
        </x:is>
      </x:c>
      <x:c r="D27" s="2" t="inlineStr">
        <x:is>
          <x:t xml:space="preserve">Campaign Sales Statistics updated at: 03.11.25 15:31</x:t>
        </x:is>
      </x:c>
      <x:c r="E27" s="2" t="inlineStr">
        <x:is>
          <x:t xml:space="preserve">CM-25-02918</x:t>
        </x:is>
      </x:c>
      <x:c r="F27" s="2" t="inlineStr">
        <x:is>
          <x:t xml:space="preserve">Bricco dell'Uccellone-(1/2)-NEW-</x:t>
        </x:is>
      </x:c>
      <x:c r="G27" s="2" t="inlineStr">
        <x:is>
          <x:t xml:space="preserve">PRIVATE</x:t>
        </x:is>
      </x:c>
      <x:c r="H27" s="2" t="inlineStr">
        <x:is>
          <x:t xml:space="preserve">Normal</x:t>
        </x:is>
      </x:c>
      <x:c r="I27" s="3" t="n">
        <x:f>FALSE()</x:f>
        <x:v>0</x:v>
      </x:c>
      <x:c r="J27" s="4" t="n">
        <x:v>45955.62708333333</x:v>
      </x:c>
      <x:c r="K27" s="3" t="n">
        <x:v>2</x:v>
      </x:c>
      <x:c r="L27" s="2" t="inlineStr">
        <x:is>
          <x:t xml:space="preserve">31543</x:t>
        </x:is>
      </x:c>
      <x:c r="M27" s="2" t="inlineStr">
        <x:is>
          <x:t xml:space="preserve">Barbera d'Asti Bricco dell'Uccellone</x:t>
        </x:is>
      </x:c>
      <x:c r="N27" s="2" t="inlineStr">
        <x:is>
          <x:t xml:space="preserve">62768</x:t>
        </x:is>
      </x:c>
      <x:c r="O27" s="5" t="n">
        <x:v>49</x:v>
      </x:c>
      <x:c r="P27" s="2" t="inlineStr">
        <x:is>
          <x:t xml:space="preserve">2021</x:t>
        </x:is>
      </x:c>
      <x:c r="Q27" s="2" t="inlineStr">
        <x:is>
          <x:t xml:space="preserve">Braida</x:t>
        </x:is>
      </x:c>
      <x:c r="R27" s="3" t="n">
        <x:v>2</x:v>
      </x:c>
      <x:c r="S27" s="3" t="n">
        <x:v>3099</x:v>
      </x:c>
      <x:c r="T27" s="3" t="n">
        <x:v>44</x:v>
      </x:c>
      <x:c r="U27" s="5" t="n">
        <x:v>1.42</x:v>
      </x:c>
      <x:c r="V27" s="5" t="n">
        <x:v>28548.8982413207361</x:v>
      </x:c>
      <x:c r="W27" s="3" t="n">
        <x:f>FALSE()</x:f>
        <x:v>0</x:v>
      </x:c>
    </x:row>
    <x:row r="28">
      <x:c r="A28" s="2" t="inlineStr">
        <x:is>
          <x:t xml:space="preserve">Last month</x:t>
        </x:is>
      </x:c>
      <x:c r="B28" s="2" t="inlineStr">
        <x:is>
          <x:t xml:space="preserve">01.10.25 00:00..31.10.25 23:59</x:t>
        </x:is>
      </x:c>
      <x:c r="C28" s="2" t="inlineStr">
        <x:is>
          <x:t xml:space="preserve">Campaign Sales Statistics is being updated.</x:t>
        </x:is>
      </x:c>
      <x:c r="D28" s="2" t="inlineStr">
        <x:is>
          <x:t xml:space="preserve">Campaign Sales Statistics updated at: 03.11.25 15:31</x:t>
        </x:is>
      </x:c>
      <x:c r="E28" s="2" t="inlineStr">
        <x:is>
          <x:t xml:space="preserve">CM-25-02916</x:t>
        </x:is>
      </x:c>
      <x:c r="F28" s="2" t="inlineStr">
        <x:is>
          <x:t xml:space="preserve">Savart 2022-(1/1)-bght Chmp OR bght&gt;150</x:t>
        </x:is>
      </x:c>
      <x:c r="G28" s="2" t="inlineStr">
        <x:is>
          <x:t xml:space="preserve">PRIVATE</x:t>
        </x:is>
      </x:c>
      <x:c r="H28" s="2" t="inlineStr">
        <x:is>
          <x:t xml:space="preserve">Normal</x:t>
        </x:is>
      </x:c>
      <x:c r="I28" s="3" t="n">
        <x:f>FALSE()</x:f>
        <x:v>0</x:v>
      </x:c>
      <x:c r="J28" s="4" t="n">
        <x:v>45955.48125</x:v>
      </x:c>
      <x:c r="K28" s="3" t="n">
        <x:v>1</x:v>
      </x:c>
      <x:c r="L28" s="2" t="inlineStr">
        <x:is>
          <x:t xml:space="preserve">11207</x:t>
        </x:is>
      </x:c>
      <x:c r="M28" s="2" t="inlineStr">
        <x:is>
          <x:t xml:space="preserve">Champagne Extra Brut Grand Cru Le Mesnil</x:t>
        </x:is>
      </x:c>
      <x:c r="N28" s="2" t="inlineStr">
        <x:is>
          <x:t xml:space="preserve">65596</x:t>
        </x:is>
      </x:c>
      <x:c r="O28" s="5" t="n">
        <x:v>180</x:v>
      </x:c>
      <x:c r="P28" s="2" t="inlineStr">
        <x:is>
          <x:t xml:space="preserve">2022</x:t>
        </x:is>
      </x:c>
      <x:c r="Q28" s="2" t="inlineStr">
        <x:is>
          <x:t xml:space="preserve">Frederic Savart</x:t>
        </x:is>
      </x:c>
      <x:c r="R28" s="3" t="n">
        <x:v>1</x:v>
      </x:c>
      <x:c r="S28" s="3" t="n">
        <x:v>1914</x:v>
      </x:c>
      <x:c r="T28" s="3" t="n">
        <x:v>23</x:v>
      </x:c>
      <x:c r="U28" s="5" t="n">
        <x:v>1.2</x:v>
      </x:c>
      <x:c r="V28" s="5" t="n">
        <x:v>26887.0781221091582</x:v>
      </x:c>
      <x:c r="W28" s="3" t="n">
        <x:f>FALSE()</x:f>
        <x:v>0</x:v>
      </x:c>
    </x:row>
    <x:row r="29">
      <x:c r="A29" s="2" t="inlineStr">
        <x:is>
          <x:t xml:space="preserve">Last month</x:t>
        </x:is>
      </x:c>
      <x:c r="B29" s="2" t="inlineStr">
        <x:is>
          <x:t xml:space="preserve">01.10.25 00:00..31.10.25 23:59</x:t>
        </x:is>
      </x:c>
      <x:c r="C29" s="2" t="inlineStr">
        <x:is>
          <x:t xml:space="preserve">Campaign Sales Statistics is being updated.</x:t>
        </x:is>
      </x:c>
      <x:c r="D29" s="2" t="inlineStr">
        <x:is>
          <x:t xml:space="preserve">Campaign Sales Statistics updated at: 03.11.25 15:31</x:t>
        </x:is>
      </x:c>
      <x:c r="E29" s="2" t="inlineStr">
        <x:is>
          <x:t xml:space="preserve">CM-25-02933</x:t>
        </x:is>
      </x:c>
      <x:c r="F29" s="2" t="inlineStr">
        <x:is>
          <x:t xml:space="preserve">HORECA:Clos L'Eglise 2009-(1/1)- Active</x:t>
        </x:is>
      </x:c>
      <x:c r="G29" s="2" t="inlineStr">
        <x:is>
          <x:t xml:space="preserve">HORECA</x:t>
        </x:is>
      </x:c>
      <x:c r="H29" s="2" t="inlineStr">
        <x:is>
          <x:t xml:space="preserve">Normal</x:t>
        </x:is>
      </x:c>
      <x:c r="I29" s="3" t="n">
        <x:f>FALSE()</x:f>
        <x:v>0</x:v>
      </x:c>
      <x:c r="J29" s="4" t="n">
        <x:v>45955.41875</x:v>
      </x:c>
      <x:c r="K29" s="3" t="n">
        <x:v>1</x:v>
      </x:c>
      <x:c r="L29" s="2" t="inlineStr">
        <x:is>
          <x:t xml:space="preserve">11191</x:t>
        </x:is>
      </x:c>
      <x:c r="M29" s="2" t="inlineStr">
        <x:is>
          <x:t xml:space="preserve">Clos l'Église (Ex-Château)</x:t>
        </x:is>
      </x:c>
      <x:c r="N29" s="2" t="inlineStr">
        <x:is>
          <x:t xml:space="preserve">65423</x:t>
        </x:is>
      </x:c>
      <x:c r="O29" s="5" t="n">
        <x:v>107</x:v>
      </x:c>
      <x:c r="P29" s="2" t="inlineStr">
        <x:is>
          <x:t xml:space="preserve">2009</x:t>
        </x:is>
      </x:c>
      <x:c r="Q29" s="2" t="inlineStr">
        <x:is>
          <x:t xml:space="preserve">Clos l'Eglise</x:t>
        </x:is>
      </x:c>
      <x:c r="R29" s="3" t="n">
        <x:v>1</x:v>
      </x:c>
      <x:c r="S29" s="3" t="n">
        <x:v>321</x:v>
      </x:c>
      <x:c r="T29" s="3" t="n">
        <x:v>5</x:v>
      </x:c>
      <x:c r="U29" s="5" t="n">
        <x:v>1.56</x:v>
      </x:c>
      <x:c r="V29" s="5" t="n">
        <x:v>11000.3237742830713</x:v>
      </x:c>
      <x:c r="W29" s="3" t="n">
        <x:f>FALSE()</x:f>
        <x:v>0</x:v>
      </x:c>
    </x:row>
    <x:row r="30">
      <x:c r="A30" s="2" t="inlineStr">
        <x:is>
          <x:t xml:space="preserve">Last month</x:t>
        </x:is>
      </x:c>
      <x:c r="B30" s="2" t="inlineStr">
        <x:is>
          <x:t xml:space="preserve">01.10.25 00:00..31.10.25 23:59</x:t>
        </x:is>
      </x:c>
      <x:c r="C30" s="2" t="inlineStr">
        <x:is>
          <x:t xml:space="preserve">Campaign Sales Statistics is being updated.</x:t>
        </x:is>
      </x:c>
      <x:c r="D30" s="2" t="inlineStr">
        <x:is>
          <x:t xml:space="preserve">Campaign Sales Statistics updated at: 03.11.25 15:31</x:t>
        </x:is>
      </x:c>
      <x:c r="E30" s="2" t="inlineStr">
        <x:is>
          <x:t xml:space="preserve">CM-25-02930</x:t>
        </x:is>
      </x:c>
      <x:c r="F30" s="2" t="inlineStr">
        <x:is>
          <x:t xml:space="preserve">Meursault BlancCocheDury 2023-(1/1)-bght 2022</x:t>
        </x:is>
      </x:c>
      <x:c r="G30" s="2" t="inlineStr">
        <x:is>
          <x:t xml:space="preserve">PRIVATE</x:t>
        </x:is>
      </x:c>
      <x:c r="H30" s="2" t="inlineStr">
        <x:is>
          <x:t xml:space="preserve">Normal</x:t>
        </x:is>
      </x:c>
      <x:c r="I30" s="3" t="n">
        <x:f>FALSE()</x:f>
        <x:v>0</x:v>
      </x:c>
      <x:c r="J30" s="4" t="n">
        <x:v>45954.729166666664</x:v>
      </x:c>
      <x:c r="K30" s="3" t="n">
        <x:v>1</x:v>
      </x:c>
      <x:c r="L30" s="2" t="inlineStr">
        <x:is>
          <x:t xml:space="preserve">2177</x:t>
        </x:is>
      </x:c>
      <x:c r="M30" s="2" t="inlineStr">
        <x:is>
          <x:t xml:space="preserve">Meursault Blanc</x:t>
        </x:is>
      </x:c>
      <x:c r="N30" s="2" t="inlineStr">
        <x:is>
          <x:t xml:space="preserve">65756</x:t>
        </x:is>
      </x:c>
      <x:c r="O30" s="5" t="n">
        <x:v>860</x:v>
      </x:c>
      <x:c r="P30" s="2" t="inlineStr">
        <x:is>
          <x:t xml:space="preserve">2023</x:t>
        </x:is>
      </x:c>
      <x:c r="Q30" s="2" t="inlineStr">
        <x:is>
          <x:t xml:space="preserve">Domaine Coche-Dury</x:t>
        </x:is>
      </x:c>
      <x:c r="R30" s="3" t="n">
        <x:v>1</x:v>
      </x:c>
      <x:c r="S30" s="3" t="n">
        <x:v>8</x:v>
      </x:c>
      <x:c r="T30" s="3" t="n">
        <x:v>3</x:v>
      </x:c>
      <x:c r="U30" s="5" t="n">
        <x:v>37.5</x:v>
      </x:c>
      <x:c r="V30" s="5" t="n">
        <x:v>29278.5413876040703</x:v>
      </x:c>
      <x:c r="W30" s="3" t="n">
        <x:f>FALSE()</x:f>
        <x:v>0</x:v>
      </x:c>
    </x:row>
    <x:row r="31">
      <x:c r="A31" s="2" t="inlineStr">
        <x:is>
          <x:t xml:space="preserve">Last month</x:t>
        </x:is>
      </x:c>
      <x:c r="B31" s="2" t="inlineStr">
        <x:is>
          <x:t xml:space="preserve">01.10.25 00:00..31.10.25 23:59</x:t>
        </x:is>
      </x:c>
      <x:c r="C31" s="2" t="inlineStr">
        <x:is>
          <x:t xml:space="preserve">Campaign Sales Statistics is being updated.</x:t>
        </x:is>
      </x:c>
      <x:c r="D31" s="2" t="inlineStr">
        <x:is>
          <x:t xml:space="preserve">Campaign Sales Statistics updated at: 03.11.25 15:31</x:t>
        </x:is>
      </x:c>
      <x:c r="E31" s="2" t="inlineStr">
        <x:is>
          <x:t xml:space="preserve">CM-25-02914</x:t>
        </x:is>
      </x:c>
      <x:c r="F31" s="2" t="inlineStr">
        <x:is>
          <x:t xml:space="preserve">Lafite 2005-(1/5)-bght 2005 red bdx</x:t>
        </x:is>
      </x:c>
      <x:c r="G31" s="2" t="inlineStr">
        <x:is>
          <x:t xml:space="preserve">PRIVATE</x:t>
        </x:is>
      </x:c>
      <x:c r="H31" s="2" t="inlineStr">
        <x:is>
          <x:t xml:space="preserve">Normal</x:t>
        </x:is>
      </x:c>
      <x:c r="I31" s="3" t="n">
        <x:f>FALSE()</x:f>
        <x:v>0</x:v>
      </x:c>
      <x:c r="J31" s="4" t="n">
        <x:v>45954.71041666667</x:v>
      </x:c>
      <x:c r="K31" s="3" t="n">
        <x:v>6</x:v>
      </x:c>
      <x:c r="L31" s="2" t="inlineStr">
        <x:is>
          <x:t xml:space="preserve">2796</x:t>
        </x:is>
      </x:c>
      <x:c r="M31" s="2" t="inlineStr">
        <x:is>
          <x:t xml:space="preserve">Lafite Rothschild</x:t>
        </x:is>
      </x:c>
      <x:c r="N31" s="2" t="inlineStr">
        <x:is>
          <x:t xml:space="preserve">7779</x:t>
        </x:is>
      </x:c>
      <x:c r="O31" s="5" t="n">
        <x:v>780</x:v>
      </x:c>
      <x:c r="P31" s="2" t="inlineStr">
        <x:is>
          <x:t xml:space="preserve">2005</x:t>
        </x:is>
      </x:c>
      <x:c r="Q31" s="2" t="inlineStr">
        <x:is>
          <x:t xml:space="preserve">Château Lafite Rothschild</x:t>
        </x:is>
      </x:c>
      <x:c r="R31" s="3" t="n">
        <x:v>1</x:v>
      </x:c>
      <x:c r="S31" s="3" t="n">
        <x:v>1618</x:v>
      </x:c>
      <x:c r="T31" s="3" t="n">
        <x:v>11</x:v>
      </x:c>
      <x:c r="U31" s="5" t="n">
        <x:v>0.68</x:v>
      </x:c>
      <x:c r="V31" s="5" t="n">
        <x:v>80744.8095404568278</x:v>
      </x:c>
      <x:c r="W31" s="3" t="n">
        <x:f>FALSE()</x:f>
        <x:v>0</x:v>
      </x:c>
    </x:row>
    <x:row r="32">
      <x:c r="A32" s="2" t="inlineStr">
        <x:is>
          <x:t xml:space="preserve">Last month</x:t>
        </x:is>
      </x:c>
      <x:c r="B32" s="2" t="inlineStr">
        <x:is>
          <x:t xml:space="preserve">01.10.25 00:00..31.10.25 23:59</x:t>
        </x:is>
      </x:c>
      <x:c r="C32" s="2" t="inlineStr">
        <x:is>
          <x:t xml:space="preserve">Campaign Sales Statistics is being updated.</x:t>
        </x:is>
      </x:c>
      <x:c r="D32" s="2" t="inlineStr">
        <x:is>
          <x:t xml:space="preserve">Campaign Sales Statistics updated at: 03.11.25 15:31</x:t>
        </x:is>
      </x:c>
      <x:c r="E32" s="2" t="inlineStr">
        <x:is>
          <x:t xml:space="preserve">CM-25-02922</x:t>
        </x:is>
      </x:c>
      <x:c r="F32" s="2" t="inlineStr">
        <x:is>
          <x:t xml:space="preserve">LEADS "CH only" HORECA: Cantenac 2021-(2/2)-Inactive</x:t>
        </x:is>
      </x:c>
      <x:c r="G32" s="2" t="inlineStr">
        <x:is>
          <x:t xml:space="preserve">HORECA</x:t>
        </x:is>
      </x:c>
      <x:c r="H32" s="2" t="inlineStr">
        <x:is>
          <x:t xml:space="preserve">Lead</x:t>
        </x:is>
      </x:c>
      <x:c r="I32" s="3" t="n">
        <x:f>FALSE()</x:f>
        <x:v>0</x:v>
      </x:c>
      <x:c r="J32" s="4" t="n">
        <x:v>45954.62708333333</x:v>
      </x:c>
      <x:c r="K32" s="3" t="n">
        <x:v>1</x:v>
      </x:c>
      <x:c r="L32" s="2" t="inlineStr">
        <x:is>
          <x:t xml:space="preserve">1294</x:t>
        </x:is>
      </x:c>
      <x:c r="M32" s="2" t="inlineStr">
        <x:is>
          <x:t xml:space="preserve">Cantenac Brown</x:t>
        </x:is>
      </x:c>
      <x:c r="N32" s="2" t="inlineStr">
        <x:is>
          <x:t xml:space="preserve">55631</x:t>
        </x:is>
      </x:c>
      <x:c r="O32" s="5" t="n">
        <x:v>28</x:v>
      </x:c>
      <x:c r="P32" s="2" t="inlineStr">
        <x:is>
          <x:t xml:space="preserve">2021</x:t>
        </x:is>
      </x:c>
      <x:c r="Q32" s="2" t="inlineStr">
        <x:is>
          <x:t xml:space="preserve">Château Cantenac-Brown</x:t>
        </x:is>
      </x:c>
      <x:c r="R32" s="3" t="n">
        <x:v>1</x:v>
      </x:c>
      <x:c r="S32" s="3" t="n">
        <x:v>870</x:v>
      </x:c>
      <x:c r="T32" s="3" t="n">
        <x:v>1</x:v>
      </x:c>
      <x:c r="U32" s="5" t="n">
        <x:v>0.11</x:v>
      </x:c>
      <x:c r="V32" s="5" t="n">
        <x:v>1270.24051803885291</x:v>
      </x:c>
      <x:c r="W32" s="3" t="n">
        <x:f>FALSE()</x:f>
        <x:v>0</x:v>
      </x:c>
    </x:row>
    <x:row r="33">
      <x:c r="A33" s="2" t="inlineStr">
        <x:is>
          <x:t xml:space="preserve">Last month</x:t>
        </x:is>
      </x:c>
      <x:c r="B33" s="2" t="inlineStr">
        <x:is>
          <x:t xml:space="preserve">01.10.25 00:00..31.10.25 23:59</x:t>
        </x:is>
      </x:c>
      <x:c r="C33" s="2" t="inlineStr">
        <x:is>
          <x:t xml:space="preserve">Campaign Sales Statistics is being updated.</x:t>
        </x:is>
      </x:c>
      <x:c r="D33" s="2" t="inlineStr">
        <x:is>
          <x:t xml:space="preserve">Campaign Sales Statistics updated at: 03.11.25 15:31</x:t>
        </x:is>
      </x:c>
      <x:c r="E33" s="2" t="inlineStr">
        <x:is>
          <x:t xml:space="preserve">CM-25-02908</x:t>
        </x:is>
      </x:c>
      <x:c r="F33" s="2" t="inlineStr">
        <x:is>
          <x:t xml:space="preserve">HORECA: Cantenac 2021-(1/2)-bght BDX-Active</x:t>
        </x:is>
      </x:c>
      <x:c r="G33" s="2" t="inlineStr">
        <x:is>
          <x:t xml:space="preserve">HORECA</x:t>
        </x:is>
      </x:c>
      <x:c r="H33" s="2" t="inlineStr">
        <x:is>
          <x:t xml:space="preserve">Normal</x:t>
        </x:is>
      </x:c>
      <x:c r="I33" s="3" t="n">
        <x:f>FALSE()</x:f>
        <x:v>0</x:v>
      </x:c>
      <x:c r="J33" s="4" t="n">
        <x:v>45954.62708333333</x:v>
      </x:c>
      <x:c r="K33" s="3" t="n">
        <x:v>2</x:v>
      </x:c>
      <x:c r="L33" s="2" t="inlineStr">
        <x:is>
          <x:t xml:space="preserve">1294</x:t>
        </x:is>
      </x:c>
      <x:c r="M33" s="2" t="inlineStr">
        <x:is>
          <x:t xml:space="preserve">Cantenac Brown</x:t>
        </x:is>
      </x:c>
      <x:c r="N33" s="2" t="inlineStr">
        <x:is>
          <x:t xml:space="preserve">55631</x:t>
        </x:is>
      </x:c>
      <x:c r="O33" s="5" t="n">
        <x:v>28</x:v>
      </x:c>
      <x:c r="P33" s="2" t="inlineStr">
        <x:is>
          <x:t xml:space="preserve">2021</x:t>
        </x:is>
      </x:c>
      <x:c r="Q33" s="2" t="inlineStr">
        <x:is>
          <x:t xml:space="preserve">Château Cantenac-Brown</x:t>
        </x:is>
      </x:c>
      <x:c r="R33" s="3" t="n">
        <x:v>1</x:v>
      </x:c>
      <x:c r="S33" s="3" t="n">
        <x:v>332</x:v>
      </x:c>
      <x:c r="T33" s="3" t="n">
        <x:v>5</x:v>
      </x:c>
      <x:c r="U33" s="5" t="n">
        <x:v>1.51</x:v>
      </x:c>
      <x:c r="V33" s="5" t="n">
        <x:v>5205.81868640148011</x:v>
      </x:c>
      <x:c r="W33" s="3" t="n">
        <x:f>FALSE()</x:f>
        <x:v>0</x:v>
      </x:c>
    </x:row>
    <x:row r="34">
      <x:c r="A34" s="2" t="inlineStr">
        <x:is>
          <x:t xml:space="preserve">Last month</x:t>
        </x:is>
      </x:c>
      <x:c r="B34" s="2" t="inlineStr">
        <x:is>
          <x:t xml:space="preserve">01.10.25 00:00..31.10.25 23:59</x:t>
        </x:is>
      </x:c>
      <x:c r="C34" s="2" t="inlineStr">
        <x:is>
          <x:t xml:space="preserve">Campaign Sales Statistics is being updated.</x:t>
        </x:is>
      </x:c>
      <x:c r="D34" s="2" t="inlineStr">
        <x:is>
          <x:t xml:space="preserve">Campaign Sales Statistics updated at: 03.11.25 15:31</x:t>
        </x:is>
      </x:c>
      <x:c r="E34" s="2" t="inlineStr">
        <x:is>
          <x:t xml:space="preserve">CM-25-02909</x:t>
        </x:is>
      </x:c>
      <x:c r="F34" s="2" t="inlineStr">
        <x:is>
          <x:t xml:space="preserve">Poujeaux 2019-(1/4)-bght Poujeaux 2019 75cl only</x:t>
        </x:is>
      </x:c>
      <x:c r="G34" s="2" t="inlineStr">
        <x:is>
          <x:t xml:space="preserve">PRIVATE</x:t>
        </x:is>
      </x:c>
      <x:c r="H34" s="2" t="inlineStr">
        <x:is>
          <x:t xml:space="preserve">Normal</x:t>
        </x:is>
      </x:c>
      <x:c r="I34" s="3" t="n">
        <x:f>FALSE()</x:f>
        <x:v>0</x:v>
      </x:c>
      <x:c r="J34" s="4" t="n">
        <x:v>45954.60555555556</x:v>
      </x:c>
      <x:c r="K34" s="3" t="n">
        <x:v>3</x:v>
      </x:c>
      <x:c r="L34" s="2" t="inlineStr">
        <x:is>
          <x:t xml:space="preserve">1754</x:t>
        </x:is>
      </x:c>
      <x:c r="M34" s="2" t="inlineStr">
        <x:is>
          <x:t xml:space="preserve">Poujeaux</x:t>
        </x:is>
      </x:c>
      <x:c r="N34" s="2" t="inlineStr">
        <x:is>
          <x:t xml:space="preserve">57395</x:t>
        </x:is>
      </x:c>
      <x:c r="O34" s="5" t="n">
        <x:v>52</x:v>
      </x:c>
      <x:c r="P34" s="2" t="inlineStr">
        <x:is>
          <x:t xml:space="preserve">2019</x:t>
        </x:is>
      </x:c>
      <x:c r="Q34" s="2" t="inlineStr">
        <x:is>
          <x:t xml:space="preserve">Château Poujeaux</x:t>
        </x:is>
      </x:c>
      <x:c r="R34" s="3" t="n">
        <x:v>1</x:v>
      </x:c>
      <x:c r="S34" s="3" t="n">
        <x:v>1151</x:v>
      </x:c>
      <x:c r="T34" s="3" t="n">
        <x:v>29</x:v>
      </x:c>
      <x:c r="U34" s="5" t="n">
        <x:v>2.52</x:v>
      </x:c>
      <x:c r="V34" s="5" t="n">
        <x:v>14045.6763148181387</x:v>
      </x:c>
      <x:c r="W34" s="3" t="n">
        <x:f>FALSE()</x:f>
        <x:v>0</x:v>
      </x:c>
    </x:row>
    <x:row r="35">
      <x:c r="A35" s="2" t="inlineStr">
        <x:is>
          <x:t xml:space="preserve">Last month</x:t>
        </x:is>
      </x:c>
      <x:c r="B35" s="2" t="inlineStr">
        <x:is>
          <x:t xml:space="preserve">01.10.25 00:00..31.10.25 23:59</x:t>
        </x:is>
      </x:c>
      <x:c r="C35" s="2" t="inlineStr">
        <x:is>
          <x:t xml:space="preserve">Campaign Sales Statistics is being updated.</x:t>
        </x:is>
      </x:c>
      <x:c r="D35" s="2" t="inlineStr">
        <x:is>
          <x:t xml:space="preserve">Campaign Sales Statistics updated at: 03.11.25 15:31</x:t>
        </x:is>
      </x:c>
      <x:c r="E35" s="2" t="inlineStr">
        <x:is>
          <x:t xml:space="preserve">CM-25-02906</x:t>
        </x:is>
      </x:c>
      <x:c r="F35" s="2" t="inlineStr">
        <x:is>
          <x:t xml:space="preserve">Léoville Poyferré 2020-(1/2)-bght Cos2020 23.10</x:t>
        </x:is>
      </x:c>
      <x:c r="G35" s="2" t="inlineStr">
        <x:is>
          <x:t xml:space="preserve">PRIVATE</x:t>
        </x:is>
      </x:c>
      <x:c r="H35" s="2" t="inlineStr">
        <x:is>
          <x:t xml:space="preserve">Normal</x:t>
        </x:is>
      </x:c>
      <x:c r="I35" s="3" t="n">
        <x:f>FALSE()</x:f>
        <x:v>0</x:v>
      </x:c>
      <x:c r="J35" s="4" t="n">
        <x:v>45954.46041666667</x:v>
      </x:c>
      <x:c r="K35" s="3" t="n">
        <x:v>3</x:v>
      </x:c>
      <x:c r="L35" s="2" t="inlineStr">
        <x:is>
          <x:t xml:space="preserve">1621</x:t>
        </x:is>
      </x:c>
      <x:c r="M35" s="2" t="inlineStr">
        <x:is>
          <x:t xml:space="preserve">Léoville Poyferré</x:t>
        </x:is>
      </x:c>
      <x:c r="N35" s="2" t="inlineStr">
        <x:is>
          <x:t xml:space="preserve">53921</x:t>
        </x:is>
      </x:c>
      <x:c r="O35" s="5" t="n">
        <x:v>85</x:v>
      </x:c>
      <x:c r="P35" s="2" t="inlineStr">
        <x:is>
          <x:t xml:space="preserve">2020</x:t>
        </x:is>
      </x:c>
      <x:c r="Q35" s="2" t="inlineStr">
        <x:is>
          <x:t xml:space="preserve">Château Léoville Poyferré</x:t>
        </x:is>
      </x:c>
      <x:c r="R35" s="3" t="n">
        <x:v>1</x:v>
      </x:c>
      <x:c r="S35" s="3" t="n">
        <x:v>4804</x:v>
      </x:c>
      <x:c r="T35" s="3" t="n">
        <x:v>108</x:v>
      </x:c>
      <x:c r="U35" s="5" t="n">
        <x:v>2.25</x:v>
      </x:c>
      <x:c r="V35" s="5" t="n">
        <x:v>113017.825071911488</x:v>
      </x:c>
      <x:c r="W35" s="3" t="n">
        <x:f>FALSE()</x:f>
        <x:v>0</x:v>
      </x:c>
    </x:row>
    <x:row r="36">
      <x:c r="A36" s="2" t="inlineStr">
        <x:is>
          <x:t xml:space="preserve">Last month</x:t>
        </x:is>
      </x:c>
      <x:c r="B36" s="2" t="inlineStr">
        <x:is>
          <x:t xml:space="preserve">01.10.25 00:00..31.10.25 23:59</x:t>
        </x:is>
      </x:c>
      <x:c r="C36" s="2" t="inlineStr">
        <x:is>
          <x:t xml:space="preserve">Campaign Sales Statistics is being updated.</x:t>
        </x:is>
      </x:c>
      <x:c r="D36" s="2" t="inlineStr">
        <x:is>
          <x:t xml:space="preserve">Campaign Sales Statistics updated at: 03.11.25 15:31</x:t>
        </x:is>
      </x:c>
      <x:c r="E36" s="2" t="inlineStr">
        <x:is>
          <x:t xml:space="preserve">CM-25-02903</x:t>
        </x:is>
      </x:c>
      <x:c r="F36" s="2" t="inlineStr">
        <x:is>
          <x:t xml:space="preserve">Hommage à Jacques Perrin 2021-(1/1)-spent&gt;200</x:t>
        </x:is>
      </x:c>
      <x:c r="G36" s="2" t="inlineStr">
        <x:is>
          <x:t xml:space="preserve">PRIVATE</x:t>
        </x:is>
      </x:c>
      <x:c r="H36" s="2" t="inlineStr">
        <x:is>
          <x:t xml:space="preserve">Normal</x:t>
        </x:is>
      </x:c>
      <x:c r="I36" s="3" t="n">
        <x:f>FALSE()</x:f>
        <x:v>0</x:v>
      </x:c>
      <x:c r="J36" s="4" t="n">
        <x:v>45953.68705015046</x:v>
      </x:c>
      <x:c r="K36" s="3" t="n">
        <x:v>1</x:v>
      </x:c>
      <x:c r="L36" s="2" t="inlineStr">
        <x:is>
          <x:t xml:space="preserve">3611</x:t>
        </x:is>
      </x:c>
      <x:c r="M36" s="2" t="inlineStr">
        <x:is>
          <x:t xml:space="preserve">Hommage à Jacques Perrin</x:t>
        </x:is>
      </x:c>
      <x:c r="N36" s="2" t="inlineStr">
        <x:is>
          <x:t xml:space="preserve">59132</x:t>
        </x:is>
      </x:c>
      <x:c r="O36" s="5" t="n">
        <x:v>200</x:v>
      </x:c>
      <x:c r="P36" s="2" t="inlineStr">
        <x:is>
          <x:t xml:space="preserve">2021</x:t>
        </x:is>
      </x:c>
      <x:c r="Q36" s="2" t="inlineStr">
        <x:is>
          <x:t xml:space="preserve">Château de Beaucastel</x:t>
        </x:is>
      </x:c>
      <x:c r="R36" s="3" t="n">
        <x:v>1</x:v>
      </x:c>
      <x:c r="S36" s="3" t="n">
        <x:v>2140</x:v>
      </x:c>
      <x:c r="T36" s="3" t="n">
        <x:v>26</x:v>
      </x:c>
      <x:c r="U36" s="5" t="n">
        <x:v>1.21</x:v>
      </x:c>
      <x:c r="V36" s="5" t="n">
        <x:v>35440.7576595744681</x:v>
      </x:c>
      <x:c r="W36" s="3" t="n">
        <x:f>FALSE()</x:f>
        <x:v>0</x:v>
      </x:c>
    </x:row>
    <x:row r="37">
      <x:c r="A37" s="2" t="inlineStr">
        <x:is>
          <x:t xml:space="preserve">Last month</x:t>
        </x:is>
      </x:c>
      <x:c r="B37" s="2" t="inlineStr">
        <x:is>
          <x:t xml:space="preserve">01.10.25 00:00..31.10.25 23:59</x:t>
        </x:is>
      </x:c>
      <x:c r="C37" s="2" t="inlineStr">
        <x:is>
          <x:t xml:space="preserve">Campaign Sales Statistics is being updated.</x:t>
        </x:is>
      </x:c>
      <x:c r="D37" s="2" t="inlineStr">
        <x:is>
          <x:t xml:space="preserve">Campaign Sales Statistics updated at: 03.11.25 15:31</x:t>
        </x:is>
      </x:c>
      <x:c r="E37" s="2" t="inlineStr">
        <x:is>
          <x:t xml:space="preserve">CM-25-02897</x:t>
        </x:is>
      </x:c>
      <x:c r="F37" s="2" t="inlineStr">
        <x:is>
          <x:t xml:space="preserve">Cos d'Estournel 2020-(1/2)-all</x:t>
        </x:is>
      </x:c>
      <x:c r="G37" s="2" t="inlineStr">
        <x:is>
          <x:t xml:space="preserve">PRIVATE</x:t>
        </x:is>
      </x:c>
      <x:c r="H37" s="2" t="inlineStr">
        <x:is>
          <x:t xml:space="preserve">Normal</x:t>
        </x:is>
      </x:c>
      <x:c r="I37" s="3" t="n">
        <x:f>FALSE()</x:f>
        <x:v>0</x:v>
      </x:c>
      <x:c r="J37" s="4" t="n">
        <x:v>45953.46041666667</x:v>
      </x:c>
      <x:c r="K37" s="3" t="n">
        <x:v>2</x:v>
      </x:c>
      <x:c r="L37" s="2" t="inlineStr">
        <x:is>
          <x:t xml:space="preserve">1352</x:t>
        </x:is>
      </x:c>
      <x:c r="M37" s="2" t="inlineStr">
        <x:is>
          <x:t xml:space="preserve">Cos d'Estournel</x:t>
        </x:is>
      </x:c>
      <x:c r="N37" s="2" t="inlineStr">
        <x:is>
          <x:t xml:space="preserve">53914</x:t>
        </x:is>
      </x:c>
      <x:c r="O37" s="5" t="n">
        <x:v>145</x:v>
      </x:c>
      <x:c r="P37" s="2" t="inlineStr">
        <x:is>
          <x:t xml:space="preserve">2020</x:t>
        </x:is>
      </x:c>
      <x:c r="Q37" s="2" t="inlineStr">
        <x:is>
          <x:t xml:space="preserve">Château Cos d'Estournel</x:t>
        </x:is>
      </x:c>
      <x:c r="R37" s="3" t="n">
        <x:v>1</x:v>
      </x:c>
      <x:c r="S37" s="3" t="n">
        <x:v>4963</x:v>
      </x:c>
      <x:c r="T37" s="3" t="n">
        <x:v>77</x:v>
      </x:c>
      <x:c r="U37" s="5" t="n">
        <x:v>1.55</x:v>
      </x:c>
      <x:c r="V37" s="5" t="n">
        <x:v>149128.110012380282</x:v>
      </x:c>
      <x:c r="W37" s="3" t="n">
        <x:f>FALSE()</x:f>
        <x:v>0</x:v>
      </x:c>
    </x:row>
    <x:row r="38">
      <x:c r="A38" s="2" t="inlineStr">
        <x:is>
          <x:t xml:space="preserve">Last month</x:t>
        </x:is>
      </x:c>
      <x:c r="B38" s="2" t="inlineStr">
        <x:is>
          <x:t xml:space="preserve">01.10.25 00:00..31.10.25 23:59</x:t>
        </x:is>
      </x:c>
      <x:c r="C38" s="2" t="inlineStr">
        <x:is>
          <x:t xml:space="preserve">Campaign Sales Statistics is being updated.</x:t>
        </x:is>
      </x:c>
      <x:c r="D38" s="2" t="inlineStr">
        <x:is>
          <x:t xml:space="preserve">Campaign Sales Statistics updated at: 03.11.25 15:31</x:t>
        </x:is>
      </x:c>
      <x:c r="E38" s="2" t="inlineStr">
        <x:is>
          <x:t xml:space="preserve">CM-25-02893</x:t>
        </x:is>
      </x:c>
      <x:c r="F38" s="2" t="inlineStr">
        <x:is>
          <x:t xml:space="preserve">Masseto BIG formats-(1/2)-exclude bght BIG_22/21</x:t>
        </x:is>
      </x:c>
      <x:c r="G38" s="2" t="inlineStr">
        <x:is>
          <x:t xml:space="preserve">PRIVATE</x:t>
        </x:is>
      </x:c>
      <x:c r="H38" s="2" t="inlineStr">
        <x:is>
          <x:t xml:space="preserve">Normal</x:t>
        </x:is>
      </x:c>
      <x:c r="I38" s="3" t="n">
        <x:f>TRUE()</x:f>
        <x:v>1</x:v>
      </x:c>
      <x:c r="J38" s="4" t="n">
        <x:v>45952.74652777778</x:v>
      </x:c>
      <x:c r="K38" s="3" t="n">
        <x:v>2</x:v>
      </x:c>
      <x:c r="L38" s="2" t="inlineStr">
        <x:is>
          <x:t xml:space="preserve">3010</x:t>
        </x:is>
      </x:c>
      <x:c r="M38" s="2" t="inlineStr">
        <x:is>
          <x:t xml:space="preserve">Masseto</x:t>
        </x:is>
      </x:c>
      <x:c r="N38" s="2" t="inlineStr">
        <x:is>
          <x:t xml:space="preserve">7443</x:t>
        </x:is>
      </x:c>
      <x:c r="O38" s="5" t="n">
        <x:v>4104</x:v>
      </x:c>
      <x:c r="P38" s="2" t="inlineStr">
        <x:is>
          <x:t xml:space="preserve">2000</x:t>
        </x:is>
      </x:c>
      <x:c r="Q38" s="2" t="inlineStr">
        <x:is>
          <x:t xml:space="preserve">Masseto</x:t>
        </x:is>
      </x:c>
      <x:c r="R38" s="3" t="n">
        <x:v>17</x:v>
      </x:c>
      <x:c r="S38" s="3" t="n">
        <x:v>887</x:v>
      </x:c>
      <x:c r="T38" s="3" t="n">
        <x:v>4</x:v>
      </x:c>
      <x:c r="U38" s="5" t="n">
        <x:v>0.45</x:v>
      </x:c>
      <x:c r="V38" s="5" t="n">
        <x:v>30575.0088344125809</x:v>
      </x:c>
      <x:c r="W38" s="3" t="n">
        <x:f>FALSE()</x:f>
        <x:v>0</x:v>
      </x:c>
    </x:row>
    <x:row r="39">
      <x:c r="A39" s="2" t="inlineStr">
        <x:is>
          <x:t xml:space="preserve">Last month</x:t>
        </x:is>
      </x:c>
      <x:c r="B39" s="2" t="inlineStr">
        <x:is>
          <x:t xml:space="preserve">01.10.25 00:00..31.10.25 23:59</x:t>
        </x:is>
      </x:c>
      <x:c r="C39" s="2" t="inlineStr">
        <x:is>
          <x:t xml:space="preserve">Campaign Sales Statistics is being updated.</x:t>
        </x:is>
      </x:c>
      <x:c r="D39" s="2" t="inlineStr">
        <x:is>
          <x:t xml:space="preserve">Campaign Sales Statistics updated at: 03.11.25 15:31</x:t>
        </x:is>
      </x:c>
      <x:c r="E39" s="2" t="inlineStr">
        <x:is>
          <x:t xml:space="preserve">CM-25-02888</x:t>
        </x:is>
      </x:c>
      <x:c r="F39" s="2" t="inlineStr">
        <x:is>
          <x:t xml:space="preserve">Cristal rosé 2015-(1/5)-bgt cristal rosé 2014</x:t>
        </x:is>
      </x:c>
      <x:c r="G39" s="2" t="inlineStr">
        <x:is>
          <x:t xml:space="preserve">PRIVATE</x:t>
        </x:is>
      </x:c>
      <x:c r="H39" s="2" t="inlineStr">
        <x:is>
          <x:t xml:space="preserve">Normal</x:t>
        </x:is>
      </x:c>
      <x:c r="I39" s="3" t="n">
        <x:f>FALSE()</x:f>
        <x:v>0</x:v>
      </x:c>
      <x:c r="J39" s="4" t="n">
        <x:v>45952.697916666664</x:v>
      </x:c>
      <x:c r="K39" s="3" t="n">
        <x:v>5</x:v>
      </x:c>
      <x:c r="L39" s="2" t="inlineStr">
        <x:is>
          <x:t xml:space="preserve">30204</x:t>
        </x:is>
      </x:c>
      <x:c r="M39" s="2" t="inlineStr">
        <x:is>
          <x:t xml:space="preserve">Champagne Brut Cristal Rosé</x:t>
        </x:is>
      </x:c>
      <x:c r="N39" s="2" t="inlineStr">
        <x:is>
          <x:t xml:space="preserve">65811</x:t>
        </x:is>
      </x:c>
      <x:c r="O39" s="5" t="n">
        <x:v>395</x:v>
      </x:c>
      <x:c r="P39" s="2" t="inlineStr">
        <x:is>
          <x:t xml:space="preserve">2015</x:t>
        </x:is>
      </x:c>
      <x:c r="Q39" s="2" t="inlineStr">
        <x:is>
          <x:t xml:space="preserve">Louis Roederer</x:t>
        </x:is>
      </x:c>
      <x:c r="R39" s="3" t="n">
        <x:v>1</x:v>
      </x:c>
      <x:c r="S39" s="3" t="n">
        <x:v>1419</x:v>
      </x:c>
      <x:c r="T39" s="3" t="n">
        <x:v>9</x:v>
      </x:c>
      <x:c r="U39" s="5" t="n">
        <x:v>0.63</x:v>
      </x:c>
      <x:c r="V39" s="5" t="n">
        <x:v>24564.028038852914</x:v>
      </x:c>
      <x:c r="W39" s="3" t="n">
        <x:f>FALSE()</x:f>
        <x:v>0</x:v>
      </x:c>
    </x:row>
    <x:row r="40">
      <x:c r="A40" s="2" t="inlineStr">
        <x:is>
          <x:t xml:space="preserve">Last month</x:t>
        </x:is>
      </x:c>
      <x:c r="B40" s="2" t="inlineStr">
        <x:is>
          <x:t xml:space="preserve">01.10.25 00:00..31.10.25 23:59</x:t>
        </x:is>
      </x:c>
      <x:c r="C40" s="2" t="inlineStr">
        <x:is>
          <x:t xml:space="preserve">Campaign Sales Statistics is being updated.</x:t>
        </x:is>
      </x:c>
      <x:c r="D40" s="2" t="inlineStr">
        <x:is>
          <x:t xml:space="preserve">Campaign Sales Statistics updated at: 03.11.25 15:31</x:t>
        </x:is>
      </x:c>
      <x:c r="E40" s="2" t="inlineStr">
        <x:is>
          <x:t xml:space="preserve">CM-25-02881</x:t>
        </x:is>
      </x:c>
      <x:c r="F40" s="2" t="inlineStr">
        <x:is>
          <x:t xml:space="preserve">Gran Reserva 904 2011-(1/1)-bght Spain</x:t>
        </x:is>
      </x:c>
      <x:c r="G40" s="2" t="inlineStr">
        <x:is>
          <x:t xml:space="preserve">PRIVATE</x:t>
        </x:is>
      </x:c>
      <x:c r="H40" s="2" t="inlineStr">
        <x:is>
          <x:t xml:space="preserve">Normal</x:t>
        </x:is>
      </x:c>
      <x:c r="I40" s="3" t="n">
        <x:f>FALSE()</x:f>
        <x:v>0</x:v>
      </x:c>
      <x:c r="J40" s="4" t="n">
        <x:v>45952.62708333333</x:v>
      </x:c>
      <x:c r="K40" s="3" t="n">
        <x:v>1</x:v>
      </x:c>
      <x:c r="L40" s="2" t="inlineStr">
        <x:is>
          <x:t xml:space="preserve">32228</x:t>
        </x:is>
      </x:c>
      <x:c r="M40" s="2" t="inlineStr">
        <x:is>
          <x:t xml:space="preserve">Gran Reserva 904</x:t>
        </x:is>
      </x:c>
      <x:c r="N40" s="2" t="inlineStr">
        <x:is>
          <x:t xml:space="preserve">51783</x:t>
        </x:is>
      </x:c>
      <x:c r="O40" s="5" t="n">
        <x:v>55</x:v>
      </x:c>
      <x:c r="P40" s="2" t="inlineStr">
        <x:is>
          <x:t xml:space="preserve">2011</x:t>
        </x:is>
      </x:c>
      <x:c r="Q40" s="2" t="inlineStr">
        <x:is>
          <x:t xml:space="preserve">La Rioja Alta</x:t>
        </x:is>
      </x:c>
      <x:c r="R40" s="3" t="n">
        <x:v>1</x:v>
      </x:c>
      <x:c r="S40" s="3" t="n">
        <x:v>1471</x:v>
      </x:c>
      <x:c r="T40" s="3" t="n">
        <x:v>56</x:v>
      </x:c>
      <x:c r="U40" s="5" t="n">
        <x:v>3.81</x:v>
      </x:c>
      <x:c r="V40" s="5" t="n">
        <x:v>36059.9291766882516</x:v>
      </x:c>
      <x:c r="W40" s="3" t="n">
        <x:f>FALSE()</x:f>
        <x:v>0</x:v>
      </x:c>
    </x:row>
    <x:row r="41">
      <x:c r="A41" s="2" t="inlineStr">
        <x:is>
          <x:t xml:space="preserve">Last month</x:t>
        </x:is>
      </x:c>
      <x:c r="B41" s="2" t="inlineStr">
        <x:is>
          <x:t xml:space="preserve">01.10.25 00:00..31.10.25 23:59</x:t>
        </x:is>
      </x:c>
      <x:c r="C41" s="2" t="inlineStr">
        <x:is>
          <x:t xml:space="preserve">Campaign Sales Statistics is being updated.</x:t>
        </x:is>
      </x:c>
      <x:c r="D41" s="2" t="inlineStr">
        <x:is>
          <x:t xml:space="preserve">Campaign Sales Statistics updated at: 03.11.25 15:31</x:t>
        </x:is>
      </x:c>
      <x:c r="E41" s="2" t="inlineStr">
        <x:is>
          <x:t xml:space="preserve">CM-25-02885</x:t>
        </x:is>
      </x:c>
      <x:c r="F41" s="2" t="inlineStr">
        <x:is>
          <x:t xml:space="preserve">Biserno+Pino-(1/3)-Max300</x:t>
        </x:is>
      </x:c>
      <x:c r="G41" s="2" t="inlineStr">
        <x:is>
          <x:t xml:space="preserve">PRIVATE</x:t>
        </x:is>
      </x:c>
      <x:c r="H41" s="2" t="inlineStr">
        <x:is>
          <x:t xml:space="preserve">Normal</x:t>
        </x:is>
      </x:c>
      <x:c r="I41" s="3" t="n">
        <x:f>FALSE()</x:f>
        <x:v>0</x:v>
      </x:c>
      <x:c r="J41" s="4" t="n">
        <x:v>45952.524305555555</x:v>
      </x:c>
      <x:c r="K41" s="3" t="n">
        <x:v>3</x:v>
      </x:c>
      <x:c r="L41" s="2" t="inlineStr">
        <x:is>
          <x:t xml:space="preserve">31328</x:t>
        </x:is>
      </x:c>
      <x:c r="M41" s="2" t="inlineStr">
        <x:is>
          <x:t xml:space="preserve">Lodovico</x:t>
        </x:is>
      </x:c>
      <x:c r="N41" s="2" t="inlineStr">
        <x:is>
          <x:t xml:space="preserve">60043</x:t>
        </x:is>
      </x:c>
      <x:c r="O41" s="5" t="n">
        <x:v>40</x:v>
      </x:c>
      <x:c r="P41" s="2" t="inlineStr">
        <x:is>
          <x:t xml:space="preserve">2021</x:t>
        </x:is>
      </x:c>
      <x:c r="Q41" s="2" t="inlineStr">
        <x:is>
          <x:t xml:space="preserve">Tenuta di Biserno</x:t>
        </x:is>
      </x:c>
      <x:c r="R41" s="3" t="n">
        <x:v>4</x:v>
      </x:c>
      <x:c r="S41" s="3" t="n">
        <x:v>4989</x:v>
      </x:c>
      <x:c r="T41" s="3" t="n">
        <x:v>77</x:v>
      </x:c>
      <x:c r="U41" s="5" t="n">
        <x:v>1.54</x:v>
      </x:c>
      <x:c r="V41" s="5" t="n">
        <x:v>79317.1624722364129</x:v>
      </x:c>
      <x:c r="W41" s="3" t="n">
        <x:f>FALSE()</x:f>
        <x:v>0</x:v>
      </x:c>
    </x:row>
    <x:row r="42">
      <x:c r="A42" s="2" t="inlineStr">
        <x:is>
          <x:t xml:space="preserve">Last month</x:t>
        </x:is>
      </x:c>
      <x:c r="B42" s="2" t="inlineStr">
        <x:is>
          <x:t xml:space="preserve">01.10.25 00:00..31.10.25 23:59</x:t>
        </x:is>
      </x:c>
      <x:c r="C42" s="2" t="inlineStr">
        <x:is>
          <x:t xml:space="preserve">Campaign Sales Statistics is being updated.</x:t>
        </x:is>
      </x:c>
      <x:c r="D42" s="2" t="inlineStr">
        <x:is>
          <x:t xml:space="preserve">Campaign Sales Statistics updated at: 03.11.25 15:31</x:t>
        </x:is>
      </x:c>
      <x:c r="E42" s="2" t="inlineStr">
        <x:is>
          <x:t xml:space="preserve">CM-25-02879</x:t>
        </x:is>
      </x:c>
      <x:c r="F42" s="2" t="inlineStr">
        <x:is>
          <x:t xml:space="preserve">HoReCa: Pino di Biserno 2022-0-INActive</x:t>
        </x:is>
      </x:c>
      <x:c r="G42" s="2" t="inlineStr">
        <x:is>
          <x:t xml:space="preserve">HORECA</x:t>
        </x:is>
      </x:c>
      <x:c r="H42" s="2" t="inlineStr">
        <x:is>
          <x:t xml:space="preserve">Lead</x:t>
        </x:is>
      </x:c>
      <x:c r="I42" s="3" t="n">
        <x:f>FALSE()</x:f>
        <x:v>0</x:v>
      </x:c>
      <x:c r="J42" s="4" t="n">
        <x:v>45952.41875</x:v>
      </x:c>
      <x:c r="K42" s="3" t="n">
        <x:v>1</x:v>
      </x:c>
      <x:c r="L42" s="2" t="inlineStr">
        <x:is>
          <x:t xml:space="preserve">31328</x:t>
        </x:is>
      </x:c>
      <x:c r="M42" s="2" t="inlineStr">
        <x:is>
          <x:t xml:space="preserve">Lodovico</x:t>
        </x:is>
      </x:c>
      <x:c r="N42" s="2" t="inlineStr">
        <x:is>
          <x:t xml:space="preserve">60043</x:t>
        </x:is>
      </x:c>
      <x:c r="O42" s="5" t="n">
        <x:v>45</x:v>
      </x:c>
      <x:c r="P42" s="2" t="inlineStr">
        <x:is>
          <x:t xml:space="preserve">2021</x:t>
        </x:is>
      </x:c>
      <x:c r="Q42" s="2" t="inlineStr">
        <x:is>
          <x:t xml:space="preserve">Tenuta di Biserno</x:t>
        </x:is>
      </x:c>
      <x:c r="R42" s="3" t="n">
        <x:v>3</x:v>
      </x:c>
      <x:c r="S42" s="3" t="n">
        <x:v>2108</x:v>
      </x:c>
      <x:c r="T42" s="3" t="n">
        <x:v>1</x:v>
      </x:c>
      <x:c r="U42" s="5" t="n">
        <x:v>0.05</x:v>
      </x:c>
      <x:c r="V42" s="5" t="n">
        <x:v>1257.54207684979359</x:v>
      </x:c>
      <x:c r="W42" s="3" t="n">
        <x:f>FALSE()</x:f>
        <x:v>0</x:v>
      </x:c>
    </x:row>
    <x:row r="43">
      <x:c r="A43" s="2" t="inlineStr">
        <x:is>
          <x:t xml:space="preserve">Last month</x:t>
        </x:is>
      </x:c>
      <x:c r="B43" s="2" t="inlineStr">
        <x:is>
          <x:t xml:space="preserve">01.10.25 00:00..31.10.25 23:59</x:t>
        </x:is>
      </x:c>
      <x:c r="C43" s="2" t="inlineStr">
        <x:is>
          <x:t xml:space="preserve">Campaign Sales Statistics is being updated.</x:t>
        </x:is>
      </x:c>
      <x:c r="D43" s="2" t="inlineStr">
        <x:is>
          <x:t xml:space="preserve">Campaign Sales Statistics updated at: 03.11.25 15:31</x:t>
        </x:is>
      </x:c>
      <x:c r="E43" s="2" t="inlineStr">
        <x:is>
          <x:t xml:space="preserve">CM-25-02876</x:t>
        </x:is>
      </x:c>
      <x:c r="F43" s="2" t="inlineStr">
        <x:is>
          <x:t xml:space="preserve">HoReCa: Pino di Biserno 2022-0-Active</x:t>
        </x:is>
      </x:c>
      <x:c r="G43" s="2" t="inlineStr">
        <x:is>
          <x:t xml:space="preserve">HORECA</x:t>
        </x:is>
      </x:c>
      <x:c r="H43" s="2" t="inlineStr">
        <x:is>
          <x:t xml:space="preserve">Normal</x:t>
        </x:is>
      </x:c>
      <x:c r="I43" s="3" t="n">
        <x:f>FALSE()</x:f>
        <x:v>0</x:v>
      </x:c>
      <x:c r="J43" s="4" t="n">
        <x:v>45952.41875</x:v>
      </x:c>
      <x:c r="K43" s="3" t="n">
        <x:v>1</x:v>
      </x:c>
      <x:c r="L43" s="2" t="inlineStr">
        <x:is>
          <x:t xml:space="preserve">31328</x:t>
        </x:is>
      </x:c>
      <x:c r="M43" s="2" t="inlineStr">
        <x:is>
          <x:t xml:space="preserve">Lodovico</x:t>
        </x:is>
      </x:c>
      <x:c r="N43" s="2" t="inlineStr">
        <x:is>
          <x:t xml:space="preserve">60043</x:t>
        </x:is>
      </x:c>
      <x:c r="O43" s="5" t="n">
        <x:v>45</x:v>
      </x:c>
      <x:c r="P43" s="2" t="inlineStr">
        <x:is>
          <x:t xml:space="preserve">2021</x:t>
        </x:is>
      </x:c>
      <x:c r="Q43" s="2" t="inlineStr">
        <x:is>
          <x:t xml:space="preserve">Tenuta di Biserno</x:t>
        </x:is>
      </x:c>
      <x:c r="R43" s="3" t="n">
        <x:v>3</x:v>
      </x:c>
      <x:c r="S43" s="3" t="n">
        <x:v>296</x:v>
      </x:c>
      <x:c r="T43" s="3" t="n">
        <x:v>5</x:v>
      </x:c>
      <x:c r="U43" s="5" t="n">
        <x:v>1.69</x:v>
      </x:c>
      <x:c r="V43" s="5" t="n">
        <x:v>25593.2118961160893</x:v>
      </x:c>
      <x:c r="W43" s="3" t="n">
        <x:f>FALSE()</x:f>
        <x:v>0</x:v>
      </x:c>
    </x:row>
    <x:row r="44">
      <x:c r="A44" s="2" t="inlineStr">
        <x:is>
          <x:t xml:space="preserve">Last month</x:t>
        </x:is>
      </x:c>
      <x:c r="B44" s="2" t="inlineStr">
        <x:is>
          <x:t xml:space="preserve">01.10.25 00:00..31.10.25 23:59</x:t>
        </x:is>
      </x:c>
      <x:c r="C44" s="2" t="inlineStr">
        <x:is>
          <x:t xml:space="preserve">Campaign Sales Statistics is being updated.</x:t>
        </x:is>
      </x:c>
      <x:c r="D44" s="2" t="inlineStr">
        <x:is>
          <x:t xml:space="preserve">Campaign Sales Statistics updated at: 03.11.25 15:31</x:t>
        </x:is>
      </x:c>
      <x:c r="E44" s="2" t="inlineStr">
        <x:is>
          <x:t xml:space="preserve">CM-25-02880</x:t>
        </x:is>
      </x:c>
      <x:c r="F44" s="2" t="inlineStr">
        <x:is>
          <x:t xml:space="preserve">Haut Brion 2000-(1/1)-spent&gt;800pbt</x:t>
        </x:is>
      </x:c>
      <x:c r="G44" s="2" t="inlineStr">
        <x:is>
          <x:t xml:space="preserve">PRIVATE</x:t>
        </x:is>
      </x:c>
      <x:c r="H44" s="2" t="inlineStr">
        <x:is>
          <x:t xml:space="preserve">Normal</x:t>
        </x:is>
      </x:c>
      <x:c r="I44" s="3" t="n">
        <x:f>FALSE()</x:f>
        <x:v>0</x:v>
      </x:c>
      <x:c r="J44" s="4" t="n">
        <x:v>45951.73125</x:v>
      </x:c>
      <x:c r="K44" s="3" t="n">
        <x:v>1</x:v>
      </x:c>
      <x:c r="L44" s="2" t="inlineStr">
        <x:is>
          <x:t xml:space="preserve">10508</x:t>
        </x:is>
      </x:c>
      <x:c r="M44" s="2" t="inlineStr">
        <x:is>
          <x:t xml:space="preserve">Haut Brion</x:t>
        </x:is>
      </x:c>
      <x:c r="N44" s="2" t="inlineStr">
        <x:is>
          <x:t xml:space="preserve">10144</x:t>
        </x:is>
      </x:c>
      <x:c r="O44" s="5" t="n">
        <x:v>920</x:v>
      </x:c>
      <x:c r="P44" s="2" t="inlineStr">
        <x:is>
          <x:t xml:space="preserve">2000</x:t>
        </x:is>
      </x:c>
      <x:c r="Q44" s="2" t="inlineStr">
        <x:is>
          <x:t xml:space="preserve">Château Haut Brion</x:t>
        </x:is>
      </x:c>
      <x:c r="R44" s="3" t="n">
        <x:v>1</x:v>
      </x:c>
      <x:c r="S44" s="3" t="n">
        <x:v>635</x:v>
      </x:c>
      <x:c r="T44" s="3" t="n">
        <x:v>4</x:v>
      </x:c>
      <x:c r="U44" s="5" t="n">
        <x:v>0.63</x:v>
      </x:c>
      <x:c r="V44" s="5" t="n">
        <x:v>43188.32</x:v>
      </x:c>
      <x:c r="W44" s="3" t="n">
        <x:f>FALSE()</x:f>
        <x:v>0</x:v>
      </x:c>
    </x:row>
    <x:row r="45">
      <x:c r="A45" s="2" t="inlineStr">
        <x:is>
          <x:t xml:space="preserve">Last month</x:t>
        </x:is>
      </x:c>
      <x:c r="B45" s="2" t="inlineStr">
        <x:is>
          <x:t xml:space="preserve">01.10.25 00:00..31.10.25 23:59</x:t>
        </x:is>
      </x:c>
      <x:c r="C45" s="2" t="inlineStr">
        <x:is>
          <x:t xml:space="preserve">Campaign Sales Statistics is being updated.</x:t>
        </x:is>
      </x:c>
      <x:c r="D45" s="2" t="inlineStr">
        <x:is>
          <x:t xml:space="preserve">Campaign Sales Statistics updated at: 03.11.25 15:31</x:t>
        </x:is>
      </x:c>
      <x:c r="E45" s="2" t="inlineStr">
        <x:is>
          <x:t xml:space="preserve">CM-25-02872</x:t>
        </x:is>
      </x:c>
      <x:c r="F45" s="2" t="inlineStr">
        <x:is>
          <x:t xml:space="preserve">Sette 2022-(1/1)- bght ITA</x:t>
        </x:is>
      </x:c>
      <x:c r="G45" s="2" t="inlineStr">
        <x:is>
          <x:t xml:space="preserve">PRIVATE</x:t>
        </x:is>
      </x:c>
      <x:c r="H45" s="2" t="inlineStr">
        <x:is>
          <x:t xml:space="preserve">Normal</x:t>
        </x:is>
      </x:c>
      <x:c r="I45" s="3" t="n">
        <x:f>FALSE()</x:f>
        <x:v>0</x:v>
      </x:c>
      <x:c r="J45" s="4" t="n">
        <x:v>45951.584027777775</x:v>
      </x:c>
      <x:c r="K45" s="3" t="n">
        <x:v>1</x:v>
      </x:c>
      <x:c r="L45" s="2" t="inlineStr">
        <x:is>
          <x:t xml:space="preserve">44028</x:t>
        </x:is>
      </x:c>
      <x:c r="M45" s="2" t="inlineStr">
        <x:is>
          <x:t xml:space="preserve">Sette</x:t>
        </x:is>
      </x:c>
      <x:c r="N45" s="2" t="inlineStr">
        <x:is>
          <x:t xml:space="preserve">61839</x:t>
        </x:is>
      </x:c>
      <x:c r="O45" s="5" t="n">
        <x:v>95</x:v>
      </x:c>
      <x:c r="P45" s="2" t="inlineStr">
        <x:is>
          <x:t xml:space="preserve">2022</x:t>
        </x:is>
      </x:c>
      <x:c r="Q45" s="2" t="inlineStr">
        <x:is>
          <x:t xml:space="preserve">Tenuta Sette Ponti</x:t>
        </x:is>
      </x:c>
      <x:c r="R45" s="3" t="n">
        <x:v>1</x:v>
      </x:c>
      <x:c r="S45" s="3" t="n">
        <x:v>2060</x:v>
      </x:c>
      <x:c r="T45" s="3" t="n">
        <x:v>32</x:v>
      </x:c>
      <x:c r="U45" s="5" t="n">
        <x:v>1.55</x:v>
      </x:c>
      <x:c r="V45" s="5" t="n">
        <x:v>27012.1149453472692</x:v>
      </x:c>
      <x:c r="W45" s="3" t="n">
        <x:f>FALSE()</x:f>
        <x:v>0</x:v>
      </x:c>
    </x:row>
    <x:row r="46">
      <x:c r="A46" s="2" t="inlineStr">
        <x:is>
          <x:t xml:space="preserve">Last month</x:t>
        </x:is>
      </x:c>
      <x:c r="B46" s="2" t="inlineStr">
        <x:is>
          <x:t xml:space="preserve">01.10.25 00:00..31.10.25 23:59</x:t>
        </x:is>
      </x:c>
      <x:c r="C46" s="2" t="inlineStr">
        <x:is>
          <x:t xml:space="preserve">Campaign Sales Statistics is being updated.</x:t>
        </x:is>
      </x:c>
      <x:c r="D46" s="2" t="inlineStr">
        <x:is>
          <x:t xml:space="preserve">Campaign Sales Statistics updated at: 03.11.25 15:31</x:t>
        </x:is>
      </x:c>
      <x:c r="E46" s="2" t="inlineStr">
        <x:is>
          <x:t xml:space="preserve">CM-25-02868</x:t>
        </x:is>
      </x:c>
      <x:c r="F46" s="2" t="inlineStr">
        <x:is>
          <x:t xml:space="preserve">Billecart-Salmon Rosé-(1/2)-bght champagne rosé</x:t>
        </x:is>
      </x:c>
      <x:c r="G46" s="2" t="inlineStr">
        <x:is>
          <x:t xml:space="preserve">PRIVATE</x:t>
        </x:is>
      </x:c>
      <x:c r="H46" s="2" t="inlineStr">
        <x:is>
          <x:t xml:space="preserve">Normal</x:t>
        </x:is>
      </x:c>
      <x:c r="I46" s="3" t="n">
        <x:f>FALSE()</x:f>
        <x:v>0</x:v>
      </x:c>
      <x:c r="J46" s="4" t="n">
        <x:v>45951.42333063657</x:v>
      </x:c>
      <x:c r="K46" s="3" t="n">
        <x:v>2</x:v>
      </x:c>
      <x:c r="L46" s="2" t="inlineStr">
        <x:is>
          <x:t xml:space="preserve">31799</x:t>
        </x:is>
      </x:c>
      <x:c r="M46" s="2" t="inlineStr">
        <x:is>
          <x:t xml:space="preserve">Champagne Brut Rosé</x:t>
        </x:is>
      </x:c>
      <x:c r="N46" s="2" t="inlineStr">
        <x:is>
          <x:t xml:space="preserve">15028</x:t>
        </x:is>
      </x:c>
      <x:c r="O46" s="5" t="n">
        <x:v>65</x:v>
      </x:c>
      <x:c r="P46" s="2" t="inlineStr">
        <x:is>
          <x:t xml:space="preserve">NV</x:t>
        </x:is>
      </x:c>
      <x:c r="Q46" s="2" t="inlineStr">
        <x:is>
          <x:t xml:space="preserve">Billecart Salmon</x:t>
        </x:is>
      </x:c>
      <x:c r="R46" s="3" t="n">
        <x:v>2</x:v>
      </x:c>
      <x:c r="S46" s="3" t="n">
        <x:v>1004</x:v>
      </x:c>
      <x:c r="T46" s="3" t="n">
        <x:v>12</x:v>
      </x:c>
      <x:c r="U46" s="5" t="n">
        <x:v>1.2</x:v>
      </x:c>
      <x:c r="V46" s="5" t="n">
        <x:v>10874.0048103607771</x:v>
      </x:c>
      <x:c r="W46" s="3" t="n">
        <x:f>FALSE()</x:f>
        <x:v>0</x:v>
      </x:c>
    </x:row>
    <x:row r="47">
      <x:c r="A47" s="2" t="inlineStr">
        <x:is>
          <x:t xml:space="preserve">Last month</x:t>
        </x:is>
      </x:c>
      <x:c r="B47" s="2" t="inlineStr">
        <x:is>
          <x:t xml:space="preserve">01.10.25 00:00..31.10.25 23:59</x:t>
        </x:is>
      </x:c>
      <x:c r="C47" s="2" t="inlineStr">
        <x:is>
          <x:t xml:space="preserve">Campaign Sales Statistics is being updated.</x:t>
        </x:is>
      </x:c>
      <x:c r="D47" s="2" t="inlineStr">
        <x:is>
          <x:t xml:space="preserve">Campaign Sales Statistics updated at: 03.11.25 15:31</x:t>
        </x:is>
      </x:c>
      <x:c r="E47" s="2" t="inlineStr">
        <x:is>
          <x:t xml:space="preserve">CM-25-02867</x:t>
        </x:is>
      </x:c>
      <x:c r="F47" s="2" t="inlineStr">
        <x:is>
          <x:t xml:space="preserve">Clos L'Eglise 2009-(1/1)- everybody</x:t>
        </x:is>
      </x:c>
      <x:c r="G47" s="2" t="inlineStr">
        <x:is>
          <x:t xml:space="preserve">PRIVATE</x:t>
        </x:is>
      </x:c>
      <x:c r="H47" s="2" t="inlineStr">
        <x:is>
          <x:t xml:space="preserve">Normal</x:t>
        </x:is>
      </x:c>
      <x:c r="I47" s="3" t="n">
        <x:f>FALSE()</x:f>
        <x:v>0</x:v>
      </x:c>
      <x:c r="J47" s="4" t="n">
        <x:v>45950.740277777775</x:v>
      </x:c>
      <x:c r="K47" s="3" t="n">
        <x:v>1</x:v>
      </x:c>
      <x:c r="L47" s="2" t="inlineStr">
        <x:is>
          <x:t xml:space="preserve">11191</x:t>
        </x:is>
      </x:c>
      <x:c r="M47" s="2" t="inlineStr">
        <x:is>
          <x:t xml:space="preserve">Clos l'Église (Ex-Château)</x:t>
        </x:is>
      </x:c>
      <x:c r="N47" s="2" t="inlineStr">
        <x:is>
          <x:t xml:space="preserve">65423</x:t>
        </x:is>
      </x:c>
      <x:c r="O47" s="5" t="n">
        <x:v>113</x:v>
      </x:c>
      <x:c r="P47" s="2" t="inlineStr">
        <x:is>
          <x:t xml:space="preserve">2009</x:t>
        </x:is>
      </x:c>
      <x:c r="Q47" s="2" t="inlineStr">
        <x:is>
          <x:t xml:space="preserve">Clos l'Eglise</x:t>
        </x:is>
      </x:c>
      <x:c r="R47" s="3" t="n">
        <x:v>1</x:v>
      </x:c>
      <x:c r="S47" s="3" t="n">
        <x:v>3313</x:v>
      </x:c>
      <x:c r="T47" s="3" t="n">
        <x:v>64</x:v>
      </x:c>
      <x:c r="U47" s="5" t="n">
        <x:v>1.93</x:v>
      </x:c>
      <x:c r="V47" s="5" t="n">
        <x:v>80519.2279000925069</x:v>
      </x:c>
      <x:c r="W47" s="3" t="n">
        <x:f>FALSE()</x:f>
        <x:v>0</x:v>
      </x:c>
    </x:row>
    <x:row r="48">
      <x:c r="A48" s="2" t="inlineStr">
        <x:is>
          <x:t xml:space="preserve">Last month</x:t>
        </x:is>
      </x:c>
      <x:c r="B48" s="2" t="inlineStr">
        <x:is>
          <x:t xml:space="preserve">01.10.25 00:00..31.10.25 23:59</x:t>
        </x:is>
      </x:c>
      <x:c r="C48" s="2" t="inlineStr">
        <x:is>
          <x:t xml:space="preserve">Campaign Sales Statistics is being updated.</x:t>
        </x:is>
      </x:c>
      <x:c r="D48" s="2" t="inlineStr">
        <x:is>
          <x:t xml:space="preserve">Campaign Sales Statistics updated at: 03.11.25 15:31</x:t>
        </x:is>
      </x:c>
      <x:c r="E48" s="2" t="inlineStr">
        <x:is>
          <x:t xml:space="preserve">CM-25-02856</x:t>
        </x:is>
      </x:c>
      <x:c r="F48" s="2" t="inlineStr">
        <x:is>
          <x:t xml:space="preserve">Paixar A Serra 2023-(1/1)-Max 800</x:t>
        </x:is>
      </x:c>
      <x:c r="G48" s="2" t="inlineStr">
        <x:is>
          <x:t xml:space="preserve">PRIVATE</x:t>
        </x:is>
      </x:c>
      <x:c r="H48" s="2" t="inlineStr">
        <x:is>
          <x:t xml:space="preserve">Normal</x:t>
        </x:is>
      </x:c>
      <x:c r="I48" s="3" t="n">
        <x:f>FALSE()</x:f>
        <x:v>0</x:v>
      </x:c>
      <x:c r="J48" s="4" t="n">
        <x:v>45950.461805555555</x:v>
      </x:c>
      <x:c r="K48" s="3" t="n">
        <x:v>1</x:v>
      </x:c>
      <x:c r="L48" s="2" t="inlineStr">
        <x:is>
          <x:t xml:space="preserve">11175</x:t>
        </x:is>
      </x:c>
      <x:c r="M48" s="2" t="inlineStr">
        <x:is>
          <x:t xml:space="preserve">Paixar A Serra</x:t>
        </x:is>
      </x:c>
      <x:c r="N48" s="2" t="inlineStr">
        <x:is>
          <x:t xml:space="preserve">65316</x:t>
        </x:is>
      </x:c>
      <x:c r="O48" s="5" t="n">
        <x:v>26</x:v>
      </x:c>
      <x:c r="P48" s="2" t="inlineStr">
        <x:is>
          <x:t xml:space="preserve">2023</x:t>
        </x:is>
      </x:c>
      <x:c r="Q48" s="2" t="inlineStr">
        <x:is>
          <x:t xml:space="preserve">Bodegas y Viñedos Luna Beberide</x:t>
        </x:is>
      </x:c>
      <x:c r="R48" s="3" t="n">
        <x:v>1</x:v>
      </x:c>
      <x:c r="S48" s="3" t="n">
        <x:v>1943</x:v>
      </x:c>
      <x:c r="T48" s="3" t="n">
        <x:v>51</x:v>
      </x:c>
      <x:c r="U48" s="5" t="n">
        <x:v>2.62</x:v>
      </x:c>
      <x:c r="V48" s="5" t="n">
        <x:v>14019.9660148839521</x:v>
      </x:c>
      <x:c r="W48" s="3" t="n">
        <x:f>FALSE()</x:f>
        <x:v>0</x:v>
      </x:c>
    </x:row>
    <x:row r="49">
      <x:c r="A49" s="2" t="inlineStr">
        <x:is>
          <x:t xml:space="preserve">Last month</x:t>
        </x:is>
      </x:c>
      <x:c r="B49" s="2" t="inlineStr">
        <x:is>
          <x:t xml:space="preserve">01.10.25 00:00..31.10.25 23:59</x:t>
        </x:is>
      </x:c>
      <x:c r="C49" s="2" t="inlineStr">
        <x:is>
          <x:t xml:space="preserve">Campaign Sales Statistics is being updated.</x:t>
        </x:is>
      </x:c>
      <x:c r="D49" s="2" t="inlineStr">
        <x:is>
          <x:t xml:space="preserve">Campaign Sales Statistics updated at: 03.11.25 15:31</x:t>
        </x:is>
      </x:c>
      <x:c r="E49" s="2" t="inlineStr">
        <x:is>
          <x:t xml:space="preserve">CM-25-02845</x:t>
        </x:is>
      </x:c>
      <x:c r="F49" s="2" t="inlineStr">
        <x:is>
          <x:t xml:space="preserve">Vertical Mouton-(1/2)-NEW -excl bght it-</x:t>
        </x:is>
      </x:c>
      <x:c r="G49" s="2" t="inlineStr">
        <x:is>
          <x:t xml:space="preserve">PRIVATE</x:t>
        </x:is>
      </x:c>
      <x:c r="H49" s="2" t="inlineStr">
        <x:is>
          <x:t xml:space="preserve">Normal</x:t>
        </x:is>
      </x:c>
      <x:c r="I49" s="3" t="n">
        <x:f>FALSE()</x:f>
        <x:v>0</x:v>
      </x:c>
      <x:c r="J49" s="4" t="n">
        <x:v>45949.709027777775</x:v>
      </x:c>
      <x:c r="K49" s="3" t="n">
        <x:v>2</x:v>
      </x:c>
      <x:c r="L49" s="2" t="inlineStr">
        <x:is>
          <x:t xml:space="preserve">10982</x:t>
        </x:is>
      </x:c>
      <x:c r="M49" s="2" t="inlineStr">
        <x:is>
          <x:t xml:space="preserve">Vertical Mouton Rothschild 1 x 150cl each vintage from 1995 to 2022 (Ex Chateau)</x:t>
        </x:is>
      </x:c>
      <x:c r="N49" s="2" t="inlineStr">
        <x:is>
          <x:t xml:space="preserve">62722</x:t>
        </x:is>
      </x:c>
      <x:c r="O49" s="5" t="n">
        <x:v>46000</x:v>
      </x:c>
      <x:c r="P49" s="2" t="inlineStr">
        <x:is>
          <x:t xml:space="preserve"/>
        </x:is>
      </x:c>
      <x:c r="Q49" s="2" t="inlineStr">
        <x:is>
          <x:t xml:space="preserve">Château Mouton Rothschild</x:t>
        </x:is>
      </x:c>
      <x:c r="R49" s="3" t="n">
        <x:v>2</x:v>
      </x:c>
      <x:c r="S49" s="3" t="n">
        <x:v>2101</x:v>
      </x:c>
      <x:c r="T49" s="3" t="n">
        <x:v>0</x:v>
      </x:c>
      <x:c r="U49" s="5" t="n">
        <x:v>0</x:v>
      </x:c>
      <x:c r="V49" s="5" t="n">
        <x:v>0</x:v>
      </x:c>
      <x:c r="W49" s="3" t="n">
        <x:f>FALSE()</x:f>
        <x:v>0</x:v>
      </x:c>
    </x:row>
    <x:row r="50">
      <x:c r="A50" s="2" t="inlineStr">
        <x:is>
          <x:t xml:space="preserve">Last month</x:t>
        </x:is>
      </x:c>
      <x:c r="B50" s="2" t="inlineStr">
        <x:is>
          <x:t xml:space="preserve">01.10.25 00:00..31.10.25 23:59</x:t>
        </x:is>
      </x:c>
      <x:c r="C50" s="2" t="inlineStr">
        <x:is>
          <x:t xml:space="preserve">Campaign Sales Statistics is being updated.</x:t>
        </x:is>
      </x:c>
      <x:c r="D50" s="2" t="inlineStr">
        <x:is>
          <x:t xml:space="preserve">Campaign Sales Statistics updated at: 03.11.25 15:31</x:t>
        </x:is>
      </x:c>
      <x:c r="E50" s="2" t="inlineStr">
        <x:is>
          <x:t xml:space="preserve">CM-25-02848</x:t>
        </x:is>
      </x:c>
      <x:c r="F50" s="2" t="inlineStr">
        <x:is>
          <x:t xml:space="preserve">Guado Al Tasso 2022-(1/2)-bght guado al tasso </x:t>
        </x:is>
      </x:c>
      <x:c r="G50" s="2" t="inlineStr">
        <x:is>
          <x:t xml:space="preserve">PRIVATE</x:t>
        </x:is>
      </x:c>
      <x:c r="H50" s="2" t="inlineStr">
        <x:is>
          <x:t xml:space="preserve">Normal</x:t>
        </x:is>
      </x:c>
      <x:c r="I50" s="3" t="n">
        <x:f>FALSE()</x:f>
        <x:v>0</x:v>
      </x:c>
      <x:c r="J50" s="4" t="n">
        <x:v>45949.41736111111</x:v>
      </x:c>
      <x:c r="K50" s="3" t="n">
        <x:v>2</x:v>
      </x:c>
      <x:c r="L50" s="2" t="inlineStr">
        <x:is>
          <x:t xml:space="preserve">2986</x:t>
        </x:is>
      </x:c>
      <x:c r="M50" s="2" t="inlineStr">
        <x:is>
          <x:t xml:space="preserve">Guado al Tasso</x:t>
        </x:is>
      </x:c>
      <x:c r="N50" s="2" t="inlineStr">
        <x:is>
          <x:t xml:space="preserve">63048</x:t>
        </x:is>
      </x:c>
      <x:c r="O50" s="5" t="n">
        <x:v>103</x:v>
      </x:c>
      <x:c r="P50" s="2" t="inlineStr">
        <x:is>
          <x:t xml:space="preserve">2022</x:t>
        </x:is>
      </x:c>
      <x:c r="Q50" s="2" t="inlineStr">
        <x:is>
          <x:t xml:space="preserve">Antinori - Tenuta Guado al Tasso</x:t>
        </x:is>
      </x:c>
      <x:c r="R50" s="3" t="n">
        <x:v>1</x:v>
      </x:c>
      <x:c r="S50" s="3" t="n">
        <x:v>578</x:v>
      </x:c>
      <x:c r="T50" s="3" t="n">
        <x:v>5</x:v>
      </x:c>
      <x:c r="U50" s="5" t="n">
        <x:v>0.87</x:v>
      </x:c>
      <x:c r="V50" s="5" t="n">
        <x:v>3501.26871691496267</x:v>
      </x:c>
      <x:c r="W50" s="3" t="n">
        <x:f>FALSE()</x:f>
        <x:v>0</x:v>
      </x:c>
    </x:row>
    <x:row r="51">
      <x:c r="A51" s="2" t="inlineStr">
        <x:is>
          <x:t xml:space="preserve">Last month</x:t>
        </x:is>
      </x:c>
      <x:c r="B51" s="2" t="inlineStr">
        <x:is>
          <x:t xml:space="preserve">01.10.25 00:00..31.10.25 23:59</x:t>
        </x:is>
      </x:c>
      <x:c r="C51" s="2" t="inlineStr">
        <x:is>
          <x:t xml:space="preserve">Campaign Sales Statistics is being updated.</x:t>
        </x:is>
      </x:c>
      <x:c r="D51" s="2" t="inlineStr">
        <x:is>
          <x:t xml:space="preserve">Campaign Sales Statistics updated at: 03.11.25 15:31</x:t>
        </x:is>
      </x:c>
      <x:c r="E51" s="2" t="inlineStr">
        <x:is>
          <x:t xml:space="preserve">CM-25-02824</x:t>
        </x:is>
      </x:c>
      <x:c r="F51" s="2" t="inlineStr">
        <x:is>
          <x:t xml:space="preserve">LEADS: Latour 2009-(1/1)-NW &gt; 500m</x:t>
        </x:is>
      </x:c>
      <x:c r="G51" s="2" t="inlineStr">
        <x:is>
          <x:t xml:space="preserve">PRIVATE</x:t>
        </x:is>
      </x:c>
      <x:c r="H51" s="2" t="inlineStr">
        <x:is>
          <x:t xml:space="preserve">Lead</x:t>
        </x:is>
      </x:c>
      <x:c r="I51" s="3" t="n">
        <x:f>FALSE()</x:f>
        <x:v>0</x:v>
      </x:c>
      <x:c r="J51" s="4" t="n">
        <x:v>45948.626388888886</x:v>
      </x:c>
      <x:c r="K51" s="3" t="n">
        <x:v>1</x:v>
      </x:c>
      <x:c r="L51" s="2" t="inlineStr">
        <x:is>
          <x:t xml:space="preserve">1603</x:t>
        </x:is>
      </x:c>
      <x:c r="M51" s="2" t="inlineStr">
        <x:is>
          <x:t xml:space="preserve">Latour</x:t>
        </x:is>
      </x:c>
      <x:c r="N51" s="2" t="inlineStr">
        <x:is>
          <x:t xml:space="preserve">10727</x:t>
        </x:is>
      </x:c>
      <x:c r="O51" s="5" t="n">
        <x:v>1055</x:v>
      </x:c>
      <x:c r="P51" s="2" t="inlineStr">
        <x:is>
          <x:t xml:space="preserve">2009</x:t>
        </x:is>
      </x:c>
      <x:c r="Q51" s="2" t="inlineStr">
        <x:is>
          <x:t xml:space="preserve">Château Latour</x:t>
        </x:is>
      </x:c>
      <x:c r="R51" s="3" t="n">
        <x:v>1</x:v>
      </x:c>
      <x:c r="S51" s="3" t="n">
        <x:v>1487</x:v>
      </x:c>
      <x:c r="T51" s="3" t="n">
        <x:v>0</x:v>
      </x:c>
      <x:c r="U51" s="5" t="n">
        <x:v>0</x:v>
      </x:c>
      <x:c r="V51" s="5" t="n">
        <x:v>0</x:v>
      </x:c>
      <x:c r="W51" s="3" t="n">
        <x:f>FALSE()</x:f>
        <x:v>0</x:v>
      </x:c>
    </x:row>
    <x:row r="52">
      <x:c r="A52" s="2" t="inlineStr">
        <x:is>
          <x:t xml:space="preserve">Last month</x:t>
        </x:is>
      </x:c>
      <x:c r="B52" s="2" t="inlineStr">
        <x:is>
          <x:t xml:space="preserve">01.10.25 00:00..31.10.25 23:59</x:t>
        </x:is>
      </x:c>
      <x:c r="C52" s="2" t="inlineStr">
        <x:is>
          <x:t xml:space="preserve">Campaign Sales Statistics is being updated.</x:t>
        </x:is>
      </x:c>
      <x:c r="D52" s="2" t="inlineStr">
        <x:is>
          <x:t xml:space="preserve">Campaign Sales Statistics updated at: 03.11.25 15:31</x:t>
        </x:is>
      </x:c>
      <x:c r="E52" s="2" t="inlineStr">
        <x:is>
          <x:t xml:space="preserve">CM-25-02846</x:t>
        </x:is>
      </x:c>
      <x:c r="F52" s="2" t="inlineStr">
        <x:is>
          <x:t xml:space="preserve">Margaux 1996-(1/1)-bdx over  300 e btl 2009 red and older</x:t>
        </x:is>
      </x:c>
      <x:c r="G52" s="2" t="inlineStr">
        <x:is>
          <x:t xml:space="preserve">PRIVATE</x:t>
        </x:is>
      </x:c>
      <x:c r="H52" s="2" t="inlineStr">
        <x:is>
          <x:t xml:space="preserve">Normal</x:t>
        </x:is>
      </x:c>
      <x:c r="I52" s="3" t="n">
        <x:f>FALSE()</x:f>
        <x:v>0</x:v>
      </x:c>
      <x:c r="J52" s="4" t="n">
        <x:v>45948.625</x:v>
      </x:c>
      <x:c r="K52" s="3" t="n">
        <x:v>1</x:v>
      </x:c>
      <x:c r="L52" s="2" t="inlineStr">
        <x:is>
          <x:t xml:space="preserve">1666</x:t>
        </x:is>
      </x:c>
      <x:c r="M52" s="2" t="inlineStr">
        <x:is>
          <x:t xml:space="preserve">Margaux</x:t>
        </x:is>
      </x:c>
      <x:c r="N52" s="2" t="inlineStr">
        <x:is>
          <x:t xml:space="preserve">11033</x:t>
        </x:is>
      </x:c>
      <x:c r="O52" s="5" t="n">
        <x:v>700</x:v>
      </x:c>
      <x:c r="P52" s="2" t="inlineStr">
        <x:is>
          <x:t xml:space="preserve">1996</x:t>
        </x:is>
      </x:c>
      <x:c r="Q52" s="2" t="inlineStr">
        <x:is>
          <x:t xml:space="preserve">Château Margaux</x:t>
        </x:is>
      </x:c>
      <x:c r="R52" s="3" t="n">
        <x:v>1</x:v>
      </x:c>
      <x:c r="S52" s="3" t="n">
        <x:v>1517</x:v>
      </x:c>
      <x:c r="T52" s="3" t="n">
        <x:v>15</x:v>
      </x:c>
      <x:c r="U52" s="5" t="n">
        <x:v>0.99</x:v>
      </x:c>
      <x:c r="V52" s="5" t="n">
        <x:v>115394.14506012951</x:v>
      </x:c>
      <x:c r="W52" s="3" t="n">
        <x:f>FALSE()</x:f>
        <x:v>0</x:v>
      </x:c>
    </x:row>
    <x:row r="53">
      <x:c r="A53" s="2" t="inlineStr">
        <x:is>
          <x:t xml:space="preserve">Last month</x:t>
        </x:is>
      </x:c>
      <x:c r="B53" s="2" t="inlineStr">
        <x:is>
          <x:t xml:space="preserve">01.10.25 00:00..31.10.25 23:59</x:t>
        </x:is>
      </x:c>
      <x:c r="C53" s="2" t="inlineStr">
        <x:is>
          <x:t xml:space="preserve">Campaign Sales Statistics is being updated.</x:t>
        </x:is>
      </x:c>
      <x:c r="D53" s="2" t="inlineStr">
        <x:is>
          <x:t xml:space="preserve">Campaign Sales Statistics updated at: 03.11.25 15:31</x:t>
        </x:is>
      </x:c>
      <x:c r="E53" s="2" t="inlineStr">
        <x:is>
          <x:t xml:space="preserve">CM-25-02850</x:t>
        </x:is>
      </x:c>
      <x:c r="F53" s="2" t="inlineStr">
        <x:is>
          <x:t xml:space="preserve">Black-Label DomPe P2-(1/2)-bght p2 not2006</x:t>
        </x:is>
      </x:c>
      <x:c r="G53" s="2" t="inlineStr">
        <x:is>
          <x:t xml:space="preserve">PRIVATE</x:t>
        </x:is>
      </x:c>
      <x:c r="H53" s="2" t="inlineStr">
        <x:is>
          <x:t xml:space="preserve">Normal</x:t>
        </x:is>
      </x:c>
      <x:c r="I53" s="3" t="n">
        <x:f>FALSE()</x:f>
        <x:v>0</x:v>
      </x:c>
      <x:c r="J53" s="4" t="n">
        <x:v>45948.461805555555</x:v>
      </x:c>
      <x:c r="K53" s="3" t="n">
        <x:v>2</x:v>
      </x:c>
      <x:c r="L53" s="2" t="inlineStr">
        <x:is>
          <x:t xml:space="preserve">35104</x:t>
        </x:is>
      </x:c>
      <x:c r="M53" s="2" t="inlineStr">
        <x:is>
          <x:t xml:space="preserve">Champagne Brut Dom Pérignon P2</x:t>
        </x:is>
      </x:c>
      <x:c r="N53" s="2" t="inlineStr">
        <x:is>
          <x:t xml:space="preserve">62033</x:t>
        </x:is>
      </x:c>
      <x:c r="O53" s="5" t="n">
        <x:v>345</x:v>
      </x:c>
      <x:c r="P53" s="2" t="inlineStr">
        <x:is>
          <x:t xml:space="preserve">2006</x:t>
        </x:is>
      </x:c>
      <x:c r="Q53" s="2" t="inlineStr">
        <x:is>
          <x:t xml:space="preserve">Dom Pérignon</x:t>
        </x:is>
      </x:c>
      <x:c r="R53" s="3" t="n">
        <x:v>1</x:v>
      </x:c>
      <x:c r="S53" s="3" t="n">
        <x:v>1682</x:v>
      </x:c>
      <x:c r="T53" s="3" t="n">
        <x:v>15</x:v>
      </x:c>
      <x:c r="U53" s="5" t="n">
        <x:v>0.89</x:v>
      </x:c>
      <x:c r="V53" s="5" t="n">
        <x:v>44877.8444483410883</x:v>
      </x:c>
      <x:c r="W53" s="3" t="n">
        <x:f>FALSE()</x:f>
        <x:v>0</x:v>
      </x:c>
    </x:row>
    <x:row r="54">
      <x:c r="A54" s="2" t="inlineStr">
        <x:is>
          <x:t xml:space="preserve">Last month</x:t>
        </x:is>
      </x:c>
      <x:c r="B54" s="2" t="inlineStr">
        <x:is>
          <x:t xml:space="preserve">01.10.25 00:00..31.10.25 23:59</x:t>
        </x:is>
      </x:c>
      <x:c r="C54" s="2" t="inlineStr">
        <x:is>
          <x:t xml:space="preserve">Campaign Sales Statistics is being updated.</x:t>
        </x:is>
      </x:c>
      <x:c r="D54" s="2" t="inlineStr">
        <x:is>
          <x:t xml:space="preserve">Campaign Sales Statistics updated at: 03.11.25 15:31</x:t>
        </x:is>
      </x:c>
      <x:c r="E54" s="2" t="inlineStr">
        <x:is>
          <x:t xml:space="preserve">CM-25-02847</x:t>
        </x:is>
      </x:c>
      <x:c r="F54" s="2" t="inlineStr">
        <x:is>
          <x:t xml:space="preserve">Giscours 2019--bght giscours OR bght&lt;50</x:t>
        </x:is>
      </x:c>
      <x:c r="G54" s="2" t="inlineStr">
        <x:is>
          <x:t xml:space="preserve">PRIVATE</x:t>
        </x:is>
      </x:c>
      <x:c r="H54" s="2" t="inlineStr">
        <x:is>
          <x:t xml:space="preserve">Normal</x:t>
        </x:is>
      </x:c>
      <x:c r="I54" s="3" t="n">
        <x:f>FALSE()</x:f>
        <x:v>0</x:v>
      </x:c>
      <x:c r="J54" s="4" t="n">
        <x:v>45948.41805555556</x:v>
      </x:c>
      <x:c r="K54" s="3" t="n">
        <x:v>1</x:v>
      </x:c>
      <x:c r="L54" s="2" t="inlineStr">
        <x:is>
          <x:t xml:space="preserve">1435</x:t>
        </x:is>
      </x:c>
      <x:c r="M54" s="2" t="inlineStr">
        <x:is>
          <x:t xml:space="preserve">Giscours</x:t>
        </x:is>
      </x:c>
      <x:c r="N54" s="2" t="inlineStr">
        <x:is>
          <x:t xml:space="preserve">51507</x:t>
        </x:is>
      </x:c>
      <x:c r="O54" s="5" t="n">
        <x:v>49</x:v>
      </x:c>
      <x:c r="P54" s="2" t="inlineStr">
        <x:is>
          <x:t xml:space="preserve">2019</x:t>
        </x:is>
      </x:c>
      <x:c r="Q54" s="2" t="inlineStr">
        <x:is>
          <x:t xml:space="preserve">Château Giscours</x:t>
        </x:is>
      </x:c>
      <x:c r="R54" s="3" t="n">
        <x:v>1</x:v>
      </x:c>
      <x:c r="S54" s="3" t="n">
        <x:v>1811</x:v>
      </x:c>
      <x:c r="T54" s="3" t="n">
        <x:v>43</x:v>
      </x:c>
      <x:c r="U54" s="5" t="n">
        <x:v>2.37</x:v>
      </x:c>
      <x:c r="V54" s="5" t="n">
        <x:v>30593.400816730409</x:v>
      </x:c>
      <x:c r="W54" s="3" t="n">
        <x:f>FALSE()</x:f>
        <x:v>0</x:v>
      </x:c>
    </x:row>
    <x:row r="55">
      <x:c r="A55" s="2" t="inlineStr">
        <x:is>
          <x:t xml:space="preserve">Last month</x:t>
        </x:is>
      </x:c>
      <x:c r="B55" s="2" t="inlineStr">
        <x:is>
          <x:t xml:space="preserve">01.10.25 00:00..31.10.25 23:59</x:t>
        </x:is>
      </x:c>
      <x:c r="C55" s="2" t="inlineStr">
        <x:is>
          <x:t xml:space="preserve">Campaign Sales Statistics is being updated.</x:t>
        </x:is>
      </x:c>
      <x:c r="D55" s="2" t="inlineStr">
        <x:is>
          <x:t xml:space="preserve">Campaign Sales Statistics updated at: 03.11.25 15:31</x:t>
        </x:is>
      </x:c>
      <x:c r="E55" s="2" t="inlineStr">
        <x:is>
          <x:t xml:space="preserve">CM-25-02844</x:t>
        </x:is>
      </x:c>
      <x:c r="F55" s="2" t="inlineStr">
        <x:is>
          <x:t xml:space="preserve">Latour 2005-(1/1)-bght BDX&gt;500 or NW&gt;10m</x:t>
        </x:is>
      </x:c>
      <x:c r="G55" s="2" t="inlineStr">
        <x:is>
          <x:t xml:space="preserve">PRIVATE</x:t>
        </x:is>
      </x:c>
      <x:c r="H55" s="2" t="inlineStr">
        <x:is>
          <x:t xml:space="preserve">Normal</x:t>
        </x:is>
      </x:c>
      <x:c r="I55" s="3" t="n">
        <x:f>TRUE()</x:f>
        <x:v>1</x:v>
      </x:c>
      <x:c r="J55" s="4" t="n">
        <x:v>45947.708333333336</x:v>
      </x:c>
      <x:c r="K55" s="3" t="n">
        <x:v>2</x:v>
      </x:c>
      <x:c r="L55" s="2" t="inlineStr">
        <x:is>
          <x:t xml:space="preserve">1603</x:t>
        </x:is>
      </x:c>
      <x:c r="M55" s="2" t="inlineStr">
        <x:is>
          <x:t xml:space="preserve">Latour</x:t>
        </x:is>
      </x:c>
      <x:c r="N55" s="2" t="inlineStr">
        <x:is>
          <x:t xml:space="preserve">2705</x:t>
        </x:is>
      </x:c>
      <x:c r="O55" s="5" t="n">
        <x:v>860</x:v>
      </x:c>
      <x:c r="P55" s="2" t="inlineStr">
        <x:is>
          <x:t xml:space="preserve">2005</x:t>
        </x:is>
      </x:c>
      <x:c r="Q55" s="2" t="inlineStr">
        <x:is>
          <x:t xml:space="preserve">Château Latour</x:t>
        </x:is>
      </x:c>
      <x:c r="R55" s="3" t="n">
        <x:v>1</x:v>
      </x:c>
      <x:c r="S55" s="3" t="n">
        <x:v>1024</x:v>
      </x:c>
      <x:c r="T55" s="3" t="n">
        <x:v>10</x:v>
      </x:c>
      <x:c r="U55" s="5" t="n">
        <x:v>0.98</x:v>
      </x:c>
      <x:c r="V55" s="5" t="n">
        <x:v>80585.5254530308679</x:v>
      </x:c>
      <x:c r="W55" s="3" t="n">
        <x:f>FALSE()</x:f>
        <x:v>0</x:v>
      </x:c>
    </x:row>
    <x:row r="56">
      <x:c r="A56" s="2" t="inlineStr">
        <x:is>
          <x:t xml:space="preserve">Last month</x:t>
        </x:is>
      </x:c>
      <x:c r="B56" s="2" t="inlineStr">
        <x:is>
          <x:t xml:space="preserve">01.10.25 00:00..31.10.25 23:59</x:t>
        </x:is>
      </x:c>
      <x:c r="C56" s="2" t="inlineStr">
        <x:is>
          <x:t xml:space="preserve">Campaign Sales Statistics is being updated.</x:t>
        </x:is>
      </x:c>
      <x:c r="D56" s="2" t="inlineStr">
        <x:is>
          <x:t xml:space="preserve">Campaign Sales Statistics updated at: 03.11.25 15:31</x:t>
        </x:is>
      </x:c>
      <x:c r="E56" s="2" t="inlineStr">
        <x:is>
          <x:t xml:space="preserve">CM-25-02837</x:t>
        </x:is>
      </x:c>
      <x:c r="F56" s="2" t="inlineStr">
        <x:is>
          <x:t xml:space="preserve">LEADS: HORECA: Sodi 2019--CH clients INActive</x:t>
        </x:is>
      </x:c>
      <x:c r="G56" s="2" t="inlineStr">
        <x:is>
          <x:t xml:space="preserve">HORECA</x:t>
        </x:is>
      </x:c>
      <x:c r="H56" s="2" t="inlineStr">
        <x:is>
          <x:t xml:space="preserve">Lead</x:t>
        </x:is>
      </x:c>
      <x:c r="I56" s="3" t="n">
        <x:f>FALSE()</x:f>
        <x:v>0</x:v>
      </x:c>
      <x:c r="J56" s="4" t="n">
        <x:v>45947.663194444445</x:v>
      </x:c>
      <x:c r="K56" s="3" t="n">
        <x:v>1</x:v>
      </x:c>
      <x:c r="L56" s="2" t="inlineStr">
        <x:is>
          <x:t xml:space="preserve">2991</x:t>
        </x:is>
      </x:c>
      <x:c r="M56" s="2" t="inlineStr">
        <x:is>
          <x:t xml:space="preserve">I Sodi di San Niccolò</x:t>
        </x:is>
      </x:c>
      <x:c r="N56" s="2" t="inlineStr">
        <x:is>
          <x:t xml:space="preserve">65780</x:t>
        </x:is>
      </x:c>
      <x:c r="O56" s="5" t="n">
        <x:v>42</x:v>
      </x:c>
      <x:c r="P56" s="2" t="inlineStr">
        <x:is>
          <x:t xml:space="preserve">2019</x:t>
        </x:is>
      </x:c>
      <x:c r="Q56" s="2" t="inlineStr">
        <x:is>
          <x:t xml:space="preserve">Domini Castellare di Castellina</x:t>
        </x:is>
      </x:c>
      <x:c r="R56" s="3" t="n">
        <x:v>1</x:v>
      </x:c>
      <x:c r="S56" s="3" t="n">
        <x:v>837</x:v>
      </x:c>
      <x:c r="T56" s="3" t="n">
        <x:v>0</x:v>
      </x:c>
      <x:c r="U56" s="5" t="n">
        <x:v>0</x:v>
      </x:c>
      <x:c r="V56" s="5" t="n">
        <x:v>0</x:v>
      </x:c>
      <x:c r="W56" s="3" t="n">
        <x:f>FALSE()</x:f>
        <x:v>0</x:v>
      </x:c>
    </x:row>
    <x:row r="57">
      <x:c r="A57" s="2" t="inlineStr">
        <x:is>
          <x:t xml:space="preserve">Last month</x:t>
        </x:is>
      </x:c>
      <x:c r="B57" s="2" t="inlineStr">
        <x:is>
          <x:t xml:space="preserve">01.10.25 00:00..31.10.25 23:59</x:t>
        </x:is>
      </x:c>
      <x:c r="C57" s="2" t="inlineStr">
        <x:is>
          <x:t xml:space="preserve">Campaign Sales Statistics is being updated.</x:t>
        </x:is>
      </x:c>
      <x:c r="D57" s="2" t="inlineStr">
        <x:is>
          <x:t xml:space="preserve">Campaign Sales Statistics updated at: 03.11.25 15:31</x:t>
        </x:is>
      </x:c>
      <x:c r="E57" s="2" t="inlineStr">
        <x:is>
          <x:t xml:space="preserve">CM-25-02836</x:t>
        </x:is>
      </x:c>
      <x:c r="F57" s="2" t="inlineStr">
        <x:is>
          <x:t xml:space="preserve">Bòggina A 2023-(1/3)-bght Fattoria Petrolo</x:t>
        </x:is>
      </x:c>
      <x:c r="G57" s="2" t="inlineStr">
        <x:is>
          <x:t xml:space="preserve">PRIVATE</x:t>
        </x:is>
      </x:c>
      <x:c r="H57" s="2" t="inlineStr">
        <x:is>
          <x:t xml:space="preserve">Normal</x:t>
        </x:is>
      </x:c>
      <x:c r="I57" s="3" t="n">
        <x:f>FALSE()</x:f>
        <x:v>0</x:v>
      </x:c>
      <x:c r="J57" s="4" t="n">
        <x:v>45947.625</x:v>
      </x:c>
      <x:c r="K57" s="3" t="n">
        <x:v>4</x:v>
      </x:c>
      <x:c r="L57" s="2" t="inlineStr">
        <x:is>
          <x:t xml:space="preserve">36949</x:t>
        </x:is>
      </x:c>
      <x:c r="M57" s="2" t="inlineStr">
        <x:is>
          <x:t xml:space="preserve">Bòggina A</x:t>
        </x:is>
      </x:c>
      <x:c r="N57" s="2" t="inlineStr">
        <x:is>
          <x:t xml:space="preserve">65652</x:t>
        </x:is>
      </x:c>
      <x:c r="O57" s="5" t="n">
        <x:v>38</x:v>
      </x:c>
      <x:c r="P57" s="2" t="inlineStr">
        <x:is>
          <x:t xml:space="preserve">2023</x:t>
        </x:is>
      </x:c>
      <x:c r="Q57" s="2" t="inlineStr">
        <x:is>
          <x:t xml:space="preserve">Fattoria Petrolo</x:t>
        </x:is>
      </x:c>
      <x:c r="R57" s="3" t="n">
        <x:v>1</x:v>
      </x:c>
      <x:c r="S57" s="3" t="n">
        <x:v>2594</x:v>
      </x:c>
      <x:c r="T57" s="3" t="n">
        <x:v>31</x:v>
      </x:c>
      <x:c r="U57" s="5" t="n">
        <x:v>1.2</x:v>
      </x:c>
      <x:c r="V57" s="5" t="n">
        <x:v>9241.43718226628192</x:v>
      </x:c>
      <x:c r="W57" s="3" t="n">
        <x:f>FALSE()</x:f>
        <x:v>0</x:v>
      </x:c>
    </x:row>
    <x:row r="58">
      <x:c r="A58" s="2" t="inlineStr">
        <x:is>
          <x:t xml:space="preserve">Last month</x:t>
        </x:is>
      </x:c>
      <x:c r="B58" s="2" t="inlineStr">
        <x:is>
          <x:t xml:space="preserve">01.10.25 00:00..31.10.25 23:59</x:t>
        </x:is>
      </x:c>
      <x:c r="C58" s="2" t="inlineStr">
        <x:is>
          <x:t xml:space="preserve">Campaign Sales Statistics is being updated.</x:t>
        </x:is>
      </x:c>
      <x:c r="D58" s="2" t="inlineStr">
        <x:is>
          <x:t xml:space="preserve">Campaign Sales Statistics updated at: 03.11.25 15:31</x:t>
        </x:is>
      </x:c>
      <x:c r="E58" s="2" t="inlineStr">
        <x:is>
          <x:t xml:space="preserve">CM-25-02835</x:t>
        </x:is>
      </x:c>
      <x:c r="F58" s="2" t="inlineStr">
        <x:is>
          <x:t xml:space="preserve">La Croix Ducru 2022-(1/1)-AVG max 100</x:t>
        </x:is>
      </x:c>
      <x:c r="G58" s="2" t="inlineStr">
        <x:is>
          <x:t xml:space="preserve">PRIVATE</x:t>
        </x:is>
      </x:c>
      <x:c r="H58" s="2" t="inlineStr">
        <x:is>
          <x:t xml:space="preserve">Normal</x:t>
        </x:is>
      </x:c>
      <x:c r="I58" s="3" t="n">
        <x:f>FALSE()</x:f>
        <x:v>0</x:v>
      </x:c>
      <x:c r="J58" s="4" t="n">
        <x:v>45947.48125</x:v>
      </x:c>
      <x:c r="K58" s="3" t="n">
        <x:v>1</x:v>
      </x:c>
      <x:c r="L58" s="2" t="inlineStr">
        <x:is>
          <x:t xml:space="preserve">30578</x:t>
        </x:is>
      </x:c>
      <x:c r="M58" s="2" t="inlineStr">
        <x:is>
          <x:t xml:space="preserve">La Croix Ducru-Beaucaillou (2nd Vin)</x:t>
        </x:is>
      </x:c>
      <x:c r="N58" s="2" t="inlineStr">
        <x:is>
          <x:t xml:space="preserve">57222</x:t>
        </x:is>
      </x:c>
      <x:c r="O58" s="5" t="n">
        <x:v>35</x:v>
      </x:c>
      <x:c r="P58" s="2" t="inlineStr">
        <x:is>
          <x:t xml:space="preserve">2022</x:t>
        </x:is>
      </x:c>
      <x:c r="Q58" s="2" t="inlineStr">
        <x:is>
          <x:t xml:space="preserve">Château Ducru Beaucaillou</x:t>
        </x:is>
      </x:c>
      <x:c r="R58" s="3" t="n">
        <x:v>1</x:v>
      </x:c>
      <x:c r="S58" s="3" t="n">
        <x:v>1785</x:v>
      </x:c>
      <x:c r="T58" s="3" t="n">
        <x:v>11</x:v>
      </x:c>
      <x:c r="U58" s="5" t="n">
        <x:v>0.62</x:v>
      </x:c>
      <x:c r="V58" s="5" t="n">
        <x:v>3353.8667900092507</x:v>
      </x:c>
      <x:c r="W58" s="3" t="n">
        <x:f>FALSE()</x:f>
        <x:v>0</x:v>
      </x:c>
    </x:row>
    <x:row r="59">
      <x:c r="A59" s="2" t="inlineStr">
        <x:is>
          <x:t xml:space="preserve">Last month</x:t>
        </x:is>
      </x:c>
      <x:c r="B59" s="2" t="inlineStr">
        <x:is>
          <x:t xml:space="preserve">01.10.25 00:00..31.10.25 23:59</x:t>
        </x:is>
      </x:c>
      <x:c r="C59" s="2" t="inlineStr">
        <x:is>
          <x:t xml:space="preserve">Campaign Sales Statistics is being updated.</x:t>
        </x:is>
      </x:c>
      <x:c r="D59" s="2" t="inlineStr">
        <x:is>
          <x:t xml:space="preserve">Campaign Sales Statistics updated at: 03.11.25 15:31</x:t>
        </x:is>
      </x:c>
      <x:c r="E59" s="2" t="inlineStr">
        <x:is>
          <x:t xml:space="preserve">CM-25-02834</x:t>
        </x:is>
      </x:c>
      <x:c r="F59" s="2" t="inlineStr">
        <x:is>
          <x:t xml:space="preserve">HORECA: Sodi 2019--CH clients Active</x:t>
        </x:is>
      </x:c>
      <x:c r="G59" s="2" t="inlineStr">
        <x:is>
          <x:t xml:space="preserve">HORECA</x:t>
        </x:is>
      </x:c>
      <x:c r="H59" s="2" t="inlineStr">
        <x:is>
          <x:t xml:space="preserve">Normal</x:t>
        </x:is>
      </x:c>
      <x:c r="I59" s="3" t="n">
        <x:f>FALSE()</x:f>
        <x:v>0</x:v>
      </x:c>
      <x:c r="J59" s="4" t="n">
        <x:v>45947.39552395833</x:v>
      </x:c>
      <x:c r="K59" s="3" t="n">
        <x:v>1</x:v>
      </x:c>
      <x:c r="L59" s="2" t="inlineStr">
        <x:is>
          <x:t xml:space="preserve">2991</x:t>
        </x:is>
      </x:c>
      <x:c r="M59" s="2" t="inlineStr">
        <x:is>
          <x:t xml:space="preserve">I Sodi di San Niccolò</x:t>
        </x:is>
      </x:c>
      <x:c r="N59" s="2" t="inlineStr">
        <x:is>
          <x:t xml:space="preserve">65780</x:t>
        </x:is>
      </x:c>
      <x:c r="O59" s="5" t="n">
        <x:v>42</x:v>
      </x:c>
      <x:c r="P59" s="2" t="inlineStr">
        <x:is>
          <x:t xml:space="preserve">2019</x:t>
        </x:is>
      </x:c>
      <x:c r="Q59" s="2" t="inlineStr">
        <x:is>
          <x:t xml:space="preserve">Domini Castellare di Castellina</x:t>
        </x:is>
      </x:c>
      <x:c r="R59" s="3" t="n">
        <x:v>1</x:v>
      </x:c>
      <x:c r="S59" s="3" t="n">
        <x:v>199</x:v>
      </x:c>
      <x:c r="T59" s="3" t="n">
        <x:v>5</x:v>
      </x:c>
      <x:c r="U59" s="5" t="n">
        <x:v>2.51</x:v>
      </x:c>
      <x:c r="V59" s="5" t="n">
        <x:v>5620.83256244218315</x:v>
      </x:c>
      <x:c r="W59" s="3" t="n">
        <x:f>FALSE()</x:f>
        <x:v>0</x:v>
      </x:c>
    </x:row>
    <x:row r="60">
      <x:c r="A60" s="2" t="inlineStr">
        <x:is>
          <x:t xml:space="preserve">Last month</x:t>
        </x:is>
      </x:c>
      <x:c r="B60" s="2" t="inlineStr">
        <x:is>
          <x:t xml:space="preserve">01.10.25 00:00..31.10.25 23:59</x:t>
        </x:is>
      </x:c>
      <x:c r="C60" s="2" t="inlineStr">
        <x:is>
          <x:t xml:space="preserve">Campaign Sales Statistics is being updated.</x:t>
        </x:is>
      </x:c>
      <x:c r="D60" s="2" t="inlineStr">
        <x:is>
          <x:t xml:space="preserve">Campaign Sales Statistics updated at: 03.11.25 15:31</x:t>
        </x:is>
      </x:c>
      <x:c r="E60" s="2" t="inlineStr">
        <x:is>
          <x:t xml:space="preserve">CM-25-02832</x:t>
        </x:is>
      </x:c>
      <x:c r="F60" s="2" t="inlineStr">
        <x:is>
          <x:t xml:space="preserve">Montrose 2021-(1/1)-bght Cos 2021 15.08..</x:t>
        </x:is>
      </x:c>
      <x:c r="G60" s="2" t="inlineStr">
        <x:is>
          <x:t xml:space="preserve">PRIVATE</x:t>
        </x:is>
      </x:c>
      <x:c r="H60" s="2" t="inlineStr">
        <x:is>
          <x:t xml:space="preserve">Normal</x:t>
        </x:is>
      </x:c>
      <x:c r="I60" s="3" t="n">
        <x:f>FALSE()</x:f>
        <x:v>0</x:v>
      </x:c>
      <x:c r="J60" s="4" t="n">
        <x:v>45947.39236111111</x:v>
      </x:c>
      <x:c r="K60" s="3" t="n">
        <x:v>3</x:v>
      </x:c>
      <x:c r="L60" s="2" t="inlineStr">
        <x:is>
          <x:t xml:space="preserve">1694</x:t>
        </x:is>
      </x:c>
      <x:c r="M60" s="2" t="inlineStr">
        <x:is>
          <x:t xml:space="preserve">Montrose</x:t>
        </x:is>
      </x:c>
      <x:c r="N60" s="2" t="inlineStr">
        <x:is>
          <x:t xml:space="preserve">55552</x:t>
        </x:is>
      </x:c>
      <x:c r="O60" s="5" t="n">
        <x:v>90</x:v>
      </x:c>
      <x:c r="P60" s="2" t="inlineStr">
        <x:is>
          <x:t xml:space="preserve">2021</x:t>
        </x:is>
      </x:c>
      <x:c r="Q60" s="2" t="inlineStr">
        <x:is>
          <x:t xml:space="preserve">Château Montrose</x:t>
        </x:is>
      </x:c>
      <x:c r="R60" s="3" t="n">
        <x:v>1</x:v>
      </x:c>
      <x:c r="S60" s="3" t="n">
        <x:v>973</x:v>
      </x:c>
      <x:c r="T60" s="3" t="n">
        <x:v>58</x:v>
      </x:c>
      <x:c r="U60" s="5" t="n">
        <x:v>5.96</x:v>
      </x:c>
      <x:c r="V60" s="5" t="n">
        <x:v>63240.4126609321569</x:v>
      </x:c>
      <x:c r="W60" s="3" t="n">
        <x:f>FALSE()</x:f>
        <x:v>0</x:v>
      </x:c>
    </x:row>
    <x:row r="61">
      <x:c r="A61" s="2" t="inlineStr">
        <x:is>
          <x:t xml:space="preserve">Last month</x:t>
        </x:is>
      </x:c>
      <x:c r="B61" s="2" t="inlineStr">
        <x:is>
          <x:t xml:space="preserve">01.10.25 00:00..31.10.25 23:59</x:t>
        </x:is>
      </x:c>
      <x:c r="C61" s="2" t="inlineStr">
        <x:is>
          <x:t xml:space="preserve">Campaign Sales Statistics is being updated.</x:t>
        </x:is>
      </x:c>
      <x:c r="D61" s="2" t="inlineStr">
        <x:is>
          <x:t xml:space="preserve">Campaign Sales Statistics updated at: 03.11.25 15:31</x:t>
        </x:is>
      </x:c>
      <x:c r="E61" s="2" t="inlineStr">
        <x:is>
          <x:t xml:space="preserve">CM-25-02825</x:t>
        </x:is>
      </x:c>
      <x:c r="F61" s="2" t="inlineStr">
        <x:is>
          <x:t xml:space="preserve">DD_1-Parantoux 2015-(1/1)-bght&gt;1K or NW&gt;50</x:t>
        </x:is>
      </x:c>
      <x:c r="G61" s="2" t="inlineStr">
        <x:is>
          <x:t xml:space="preserve">PRIVATE</x:t>
        </x:is>
      </x:c>
      <x:c r="H61" s="2" t="inlineStr">
        <x:is>
          <x:t xml:space="preserve">Normal</x:t>
        </x:is>
      </x:c>
      <x:c r="I61" s="3" t="n">
        <x:f>FALSE()</x:f>
        <x:v>0</x:v>
      </x:c>
      <x:c r="J61" s="4" t="n">
        <x:v>45946.70486111111</x:v>
      </x:c>
      <x:c r="K61" s="3" t="n">
        <x:v>1</x:v>
      </x:c>
      <x:c r="L61" s="2" t="inlineStr">
        <x:is>
          <x:t xml:space="preserve">30644</x:t>
        </x:is>
      </x:c>
      <x:c r="M61" s="2" t="inlineStr">
        <x:is>
          <x:t xml:space="preserve">Vosne Romanée Cros Parantoux</x:t>
        </x:is>
      </x:c>
      <x:c r="N61" s="2" t="inlineStr">
        <x:is>
          <x:t xml:space="preserve">65790</x:t>
        </x:is>
      </x:c>
      <x:c r="O61" s="5" t="n">
        <x:v>4165</x:v>
      </x:c>
      <x:c r="P61" s="2" t="inlineStr">
        <x:is>
          <x:t xml:space="preserve">2015</x:t>
        </x:is>
      </x:c>
      <x:c r="Q61" s="2" t="inlineStr">
        <x:is>
          <x:t xml:space="preserve">Rouget Emmanuel</x:t>
        </x:is>
      </x:c>
      <x:c r="R61" s="3" t="n">
        <x:v>1</x:v>
      </x:c>
      <x:c r="S61" s="3" t="n">
        <x:v>643</x:v>
      </x:c>
      <x:c r="T61" s="3" t="n">
        <x:v>0</x:v>
      </x:c>
      <x:c r="U61" s="5" t="n">
        <x:v>0</x:v>
      </x:c>
      <x:c r="V61" s="5" t="n">
        <x:v>0</x:v>
      </x:c>
      <x:c r="W61" s="3" t="n">
        <x:f>TRUE()</x:f>
        <x:v>1</x:v>
      </x:c>
    </x:row>
    <x:row r="62">
      <x:c r="A62" s="2" t="inlineStr">
        <x:is>
          <x:t xml:space="preserve">Last month</x:t>
        </x:is>
      </x:c>
      <x:c r="B62" s="2" t="inlineStr">
        <x:is>
          <x:t xml:space="preserve">01.10.25 00:00..31.10.25 23:59</x:t>
        </x:is>
      </x:c>
      <x:c r="C62" s="2" t="inlineStr">
        <x:is>
          <x:t xml:space="preserve">Campaign Sales Statistics is being updated.</x:t>
        </x:is>
      </x:c>
      <x:c r="D62" s="2" t="inlineStr">
        <x:is>
          <x:t xml:space="preserve">Campaign Sales Statistics updated at: 03.11.25 15:31</x:t>
        </x:is>
      </x:c>
      <x:c r="E62" s="2" t="inlineStr">
        <x:is>
          <x:t xml:space="preserve">CM-25-02822</x:t>
        </x:is>
      </x:c>
      <x:c r="F62" s="2" t="inlineStr">
        <x:is>
          <x:t xml:space="preserve">Aalto and PS 2023-(1/3)-bght bodegas|Aalto</x:t>
        </x:is>
      </x:c>
      <x:c r="G62" s="2" t="inlineStr">
        <x:is>
          <x:t xml:space="preserve">PRIVATE</x:t>
        </x:is>
      </x:c>
      <x:c r="H62" s="2" t="inlineStr">
        <x:is>
          <x:t xml:space="preserve">Normal</x:t>
        </x:is>
      </x:c>
      <x:c r="I62" s="3" t="n">
        <x:f>FALSE()</x:f>
        <x:v>0</x:v>
      </x:c>
      <x:c r="J62" s="4" t="n">
        <x:v>45946.63488815972</x:v>
      </x:c>
      <x:c r="K62" s="3" t="n">
        <x:v>6</x:v>
      </x:c>
      <x:c r="L62" s="2" t="inlineStr">
        <x:is>
          <x:t xml:space="preserve">31396</x:t>
        </x:is>
      </x:c>
      <x:c r="M62" s="2" t="inlineStr">
        <x:is>
          <x:t xml:space="preserve">PS</x:t>
        </x:is>
      </x:c>
      <x:c r="N62" s="2" t="inlineStr">
        <x:is>
          <x:t xml:space="preserve">64921</x:t>
        </x:is>
      </x:c>
      <x:c r="O62" s="5" t="n">
        <x:v>36</x:v>
      </x:c>
      <x:c r="P62" s="2" t="inlineStr">
        <x:is>
          <x:t xml:space="preserve">2023</x:t>
        </x:is>
      </x:c>
      <x:c r="Q62" s="2" t="inlineStr">
        <x:is>
          <x:t xml:space="preserve">Aalto Bodegas y Viñedos</x:t>
        </x:is>
      </x:c>
      <x:c r="R62" s="3" t="n">
        <x:v>3</x:v>
      </x:c>
      <x:c r="S62" s="3" t="n">
        <x:v>3004</x:v>
      </x:c>
      <x:c r="T62" s="3" t="n">
        <x:v>149</x:v>
      </x:c>
      <x:c r="U62" s="5" t="n">
        <x:v>4.96</x:v>
      </x:c>
      <x:c r="V62" s="5" t="n">
        <x:v>139863.731396486577</x:v>
      </x:c>
      <x:c r="W62" s="3" t="n">
        <x:f>FALSE()</x:f>
        <x:v>0</x:v>
      </x:c>
    </x:row>
    <x:row r="63">
      <x:c r="A63" s="2" t="inlineStr">
        <x:is>
          <x:t xml:space="preserve">Last month</x:t>
        </x:is>
      </x:c>
      <x:c r="B63" s="2" t="inlineStr">
        <x:is>
          <x:t xml:space="preserve">01.10.25 00:00..31.10.25 23:59</x:t>
        </x:is>
      </x:c>
      <x:c r="C63" s="2" t="inlineStr">
        <x:is>
          <x:t xml:space="preserve">Campaign Sales Statistics is being updated.</x:t>
        </x:is>
      </x:c>
      <x:c r="D63" s="2" t="inlineStr">
        <x:is>
          <x:t xml:space="preserve">Campaign Sales Statistics updated at: 03.11.25 15:31</x:t>
        </x:is>
      </x:c>
      <x:c r="E63" s="2" t="inlineStr">
        <x:is>
          <x:t xml:space="preserve">CM-25-02819</x:t>
        </x:is>
      </x:c>
      <x:c r="F63" s="2" t="inlineStr">
        <x:is>
          <x:t xml:space="preserve">LEADS: Latour 2009-(1/1)-World NW&lt;500</x:t>
        </x:is>
      </x:c>
      <x:c r="G63" s="2" t="inlineStr">
        <x:is>
          <x:t xml:space="preserve">PRIVATE</x:t>
        </x:is>
      </x:c>
      <x:c r="H63" s="2" t="inlineStr">
        <x:is>
          <x:t xml:space="preserve">Lead</x:t>
        </x:is>
      </x:c>
      <x:c r="I63" s="3" t="n">
        <x:f>FALSE()</x:f>
        <x:v>0</x:v>
      </x:c>
      <x:c r="J63" s="4" t="n">
        <x:v>45946.62708333333</x:v>
      </x:c>
      <x:c r="K63" s="3" t="n">
        <x:v>1</x:v>
      </x:c>
      <x:c r="L63" s="2" t="inlineStr">
        <x:is>
          <x:t xml:space="preserve">1603</x:t>
        </x:is>
      </x:c>
      <x:c r="M63" s="2" t="inlineStr">
        <x:is>
          <x:t xml:space="preserve">Latour</x:t>
        </x:is>
      </x:c>
      <x:c r="N63" s="2" t="inlineStr">
        <x:is>
          <x:t xml:space="preserve">10727</x:t>
        </x:is>
      </x:c>
      <x:c r="O63" s="5" t="n">
        <x:v>1055</x:v>
      </x:c>
      <x:c r="P63" s="2" t="inlineStr">
        <x:is>
          <x:t xml:space="preserve">2009</x:t>
        </x:is>
      </x:c>
      <x:c r="Q63" s="2" t="inlineStr">
        <x:is>
          <x:t xml:space="preserve">Château Latour</x:t>
        </x:is>
      </x:c>
      <x:c r="R63" s="3" t="n">
        <x:v>1</x:v>
      </x:c>
      <x:c r="S63" s="3" t="n">
        <x:v>13916</x:v>
      </x:c>
      <x:c r="T63" s="3" t="n">
        <x:v>0</x:v>
      </x:c>
      <x:c r="U63" s="5" t="n">
        <x:v>0</x:v>
      </x:c>
      <x:c r="V63" s="5" t="n">
        <x:v>0</x:v>
      </x:c>
      <x:c r="W63" s="3" t="n">
        <x:f>FALSE()</x:f>
        <x:v>0</x:v>
      </x:c>
    </x:row>
    <x:row r="64">
      <x:c r="A64" s="2" t="inlineStr">
        <x:is>
          <x:t xml:space="preserve">Last month</x:t>
        </x:is>
      </x:c>
      <x:c r="B64" s="2" t="inlineStr">
        <x:is>
          <x:t xml:space="preserve">01.10.25 00:00..31.10.25 23:59</x:t>
        </x:is>
      </x:c>
      <x:c r="C64" s="2" t="inlineStr">
        <x:is>
          <x:t xml:space="preserve">Campaign Sales Statistics is being updated.</x:t>
        </x:is>
      </x:c>
      <x:c r="D64" s="2" t="inlineStr">
        <x:is>
          <x:t xml:space="preserve">Campaign Sales Statistics updated at: 03.11.25 15:31</x:t>
        </x:is>
      </x:c>
      <x:c r="E64" s="2" t="inlineStr">
        <x:is>
          <x:t xml:space="preserve">CM-25-02816</x:t>
        </x:is>
      </x:c>
      <x:c r="F64" s="2" t="inlineStr">
        <x:is>
          <x:t xml:space="preserve">Mouton Rothschild 2009 BIG-bght&gt;5K</x:t>
        </x:is>
      </x:c>
      <x:c r="G64" s="2" t="inlineStr">
        <x:is>
          <x:t xml:space="preserve">PRIVATE</x:t>
        </x:is>
      </x:c>
      <x:c r="H64" s="2" t="inlineStr">
        <x:is>
          <x:t xml:space="preserve">Normal</x:t>
        </x:is>
      </x:c>
      <x:c r="I64" s="3" t="n">
        <x:f>FALSE()</x:f>
        <x:v>0</x:v>
      </x:c>
      <x:c r="J64" s="4" t="n">
        <x:v>45946.604166666664</x:v>
      </x:c>
      <x:c r="K64" s="3" t="n">
        <x:v>2</x:v>
      </x:c>
      <x:c r="L64" s="2" t="inlineStr">
        <x:is>
          <x:t xml:space="preserve">1707</x:t>
        </x:is>
      </x:c>
      <x:c r="M64" s="2" t="inlineStr">
        <x:is>
          <x:t xml:space="preserve">Mouton Rothschild</x:t>
        </x:is>
      </x:c>
      <x:c r="N64" s="2" t="inlineStr">
        <x:is>
          <x:t xml:space="preserve">4370</x:t>
        </x:is>
      </x:c>
      <x:c r="O64" s="5" t="n">
        <x:v>42160</x:v>
      </x:c>
      <x:c r="P64" s="2" t="inlineStr">
        <x:is>
          <x:t xml:space="preserve">2009</x:t>
        </x:is>
      </x:c>
      <x:c r="Q64" s="2" t="inlineStr">
        <x:is>
          <x:t xml:space="preserve">Château Mouton Rothschild</x:t>
        </x:is>
      </x:c>
      <x:c r="R64" s="3" t="n">
        <x:v>1</x:v>
      </x:c>
      <x:c r="S64" s="3" t="n">
        <x:v>118</x:v>
      </x:c>
      <x:c r="T64" s="3" t="n">
        <x:v>2</x:v>
      </x:c>
      <x:c r="U64" s="5" t="n">
        <x:v>1.69</x:v>
      </x:c>
      <x:c r="V64" s="5" t="n">
        <x:v>67746.3785144582362</x:v>
      </x:c>
      <x:c r="W64" s="3" t="n">
        <x:f>FALSE()</x:f>
        <x:v>0</x:v>
      </x:c>
    </x:row>
    <x:row r="65">
      <x:c r="A65" s="2" t="inlineStr">
        <x:is>
          <x:t xml:space="preserve">Last month</x:t>
        </x:is>
      </x:c>
      <x:c r="B65" s="2" t="inlineStr">
        <x:is>
          <x:t xml:space="preserve">01.10.25 00:00..31.10.25 23:59</x:t>
        </x:is>
      </x:c>
      <x:c r="C65" s="2" t="inlineStr">
        <x:is>
          <x:t xml:space="preserve">Campaign Sales Statistics is being updated.</x:t>
        </x:is>
      </x:c>
      <x:c r="D65" s="2" t="inlineStr">
        <x:is>
          <x:t xml:space="preserve">Campaign Sales Statistics updated at: 03.11.25 15:31</x:t>
        </x:is>
      </x:c>
      <x:c r="E65" s="2" t="inlineStr">
        <x:is>
          <x:t xml:space="preserve">CM-25-02814</x:t>
        </x:is>
      </x:c>
      <x:c r="F65" s="2" t="inlineStr">
        <x:is>
          <x:t xml:space="preserve">LEAD: Figeac 2018-CH+EU</x:t>
        </x:is>
      </x:c>
      <x:c r="G65" s="2" t="inlineStr">
        <x:is>
          <x:t xml:space="preserve">PRIVATE</x:t>
        </x:is>
      </x:c>
      <x:c r="H65" s="2" t="inlineStr">
        <x:is>
          <x:t xml:space="preserve">Lead</x:t>
        </x:is>
      </x:c>
      <x:c r="I65" s="3" t="n">
        <x:f>FALSE()</x:f>
        <x:v>0</x:v>
      </x:c>
      <x:c r="J65" s="4" t="n">
        <x:v>45946.41875</x:v>
      </x:c>
      <x:c r="K65" s="3" t="n">
        <x:v>1</x:v>
      </x:c>
      <x:c r="L65" s="2" t="inlineStr">
        <x:is>
          <x:t xml:space="preserve">1409</x:t>
        </x:is>
      </x:c>
      <x:c r="M65" s="2" t="inlineStr">
        <x:is>
          <x:t xml:space="preserve">Figeac</x:t>
        </x:is>
      </x:c>
      <x:c r="N65" s="2" t="inlineStr">
        <x:is>
          <x:t xml:space="preserve">48976</x:t>
        </x:is>
      </x:c>
      <x:c r="O65" s="5" t="n">
        <x:v>155</x:v>
      </x:c>
      <x:c r="P65" s="2" t="inlineStr">
        <x:is>
          <x:t xml:space="preserve">2018</x:t>
        </x:is>
      </x:c>
      <x:c r="Q65" s="2" t="inlineStr">
        <x:is>
          <x:t xml:space="preserve">Château Figeac</x:t>
        </x:is>
      </x:c>
      <x:c r="R65" s="3" t="n">
        <x:v>1</x:v>
      </x:c>
      <x:c r="S65" s="3" t="n">
        <x:v>48551</x:v>
      </x:c>
      <x:c r="T65" s="3" t="n">
        <x:v>32</x:v>
      </x:c>
      <x:c r="U65" s="5" t="n">
        <x:v>0.07</x:v>
      </x:c>
      <x:c r="V65" s="5" t="n">
        <x:v>66704.924588896406</x:v>
      </x:c>
      <x:c r="W65" s="3" t="n">
        <x:f>FALSE()</x:f>
        <x:v>0</x:v>
      </x:c>
    </x:row>
    <x:row r="66">
      <x:c r="A66" s="2" t="inlineStr">
        <x:is>
          <x:t xml:space="preserve">Last month</x:t>
        </x:is>
      </x:c>
      <x:c r="B66" s="2" t="inlineStr">
        <x:is>
          <x:t xml:space="preserve">01.10.25 00:00..31.10.25 23:59</x:t>
        </x:is>
      </x:c>
      <x:c r="C66" s="2" t="inlineStr">
        <x:is>
          <x:t xml:space="preserve">Campaign Sales Statistics is being updated.</x:t>
        </x:is>
      </x:c>
      <x:c r="D66" s="2" t="inlineStr">
        <x:is>
          <x:t xml:space="preserve">Campaign Sales Statistics updated at: 03.11.25 15:31</x:t>
        </x:is>
      </x:c>
      <x:c r="E66" s="2" t="inlineStr">
        <x:is>
          <x:t xml:space="preserve">CM-25-02807</x:t>
        </x:is>
      </x:c>
      <x:c r="F66" s="2" t="inlineStr">
        <x:is>
          <x:t xml:space="preserve">Ducru Beaucaillou 2009--bght bdx NOT ducru  09+ex</x:t>
        </x:is>
      </x:c>
      <x:c r="G66" s="2" t="inlineStr">
        <x:is>
          <x:t xml:space="preserve">PRIVATE</x:t>
        </x:is>
      </x:c>
      <x:c r="H66" s="2" t="inlineStr">
        <x:is>
          <x:t xml:space="preserve">Normal</x:t>
        </x:is>
      </x:c>
      <x:c r="I66" s="3" t="n">
        <x:f>FALSE()</x:f>
        <x:v>0</x:v>
      </x:c>
      <x:c r="J66" s="4" t="n">
        <x:v>45945.64791666667</x:v>
      </x:c>
      <x:c r="K66" s="3" t="n">
        <x:v>1</x:v>
      </x:c>
      <x:c r="L66" s="2" t="inlineStr">
        <x:is>
          <x:t xml:space="preserve">11177</x:t>
        </x:is>
      </x:c>
      <x:c r="M66" s="2" t="inlineStr">
        <x:is>
          <x:t xml:space="preserve">Ducru Beaucaillou (Ex-Château)</x:t>
        </x:is>
      </x:c>
      <x:c r="N66" s="2" t="inlineStr">
        <x:is>
          <x:t xml:space="preserve">65332</x:t>
        </x:is>
      </x:c>
      <x:c r="O66" s="5" t="n">
        <x:v>280</x:v>
      </x:c>
      <x:c r="P66" s="2" t="inlineStr">
        <x:is>
          <x:t xml:space="preserve">2009</x:t>
        </x:is>
      </x:c>
      <x:c r="Q66" s="2" t="inlineStr">
        <x:is>
          <x:t xml:space="preserve">Château Ducru Beaucaillou</x:t>
        </x:is>
      </x:c>
      <x:c r="R66" s="3" t="n">
        <x:v>1</x:v>
      </x:c>
      <x:c r="S66" s="3" t="n">
        <x:v>1256</x:v>
      </x:c>
      <x:c r="T66" s="3" t="n">
        <x:v>39</x:v>
      </x:c>
      <x:c r="U66" s="5" t="n">
        <x:v>3.11</x:v>
      </x:c>
      <x:c r="V66" s="5" t="n">
        <x:v>109484.433681776133</x:v>
      </x:c>
      <x:c r="W66" s="3" t="n">
        <x:f>FALSE()</x:f>
        <x:v>0</x:v>
      </x:c>
    </x:row>
    <x:row r="67">
      <x:c r="A67" s="2" t="inlineStr">
        <x:is>
          <x:t xml:space="preserve">Last month</x:t>
        </x:is>
      </x:c>
      <x:c r="B67" s="2" t="inlineStr">
        <x:is>
          <x:t xml:space="preserve">01.10.25 00:00..31.10.25 23:59</x:t>
        </x:is>
      </x:c>
      <x:c r="C67" s="2" t="inlineStr">
        <x:is>
          <x:t xml:space="preserve">Campaign Sales Statistics is being updated.</x:t>
        </x:is>
      </x:c>
      <x:c r="D67" s="2" t="inlineStr">
        <x:is>
          <x:t xml:space="preserve">Campaign Sales Statistics updated at: 03.11.25 15:31</x:t>
        </x:is>
      </x:c>
      <x:c r="E67" s="2" t="inlineStr">
        <x:is>
          <x:t xml:space="preserve">CM-25-02804</x:t>
        </x:is>
      </x:c>
      <x:c r="F67" s="2" t="inlineStr">
        <x:is>
          <x:t xml:space="preserve">IX Estate Syrah 2022-(1/2)-bght 6 colgin 2022</x:t>
        </x:is>
      </x:c>
      <x:c r="G67" s="2" t="inlineStr">
        <x:is>
          <x:t xml:space="preserve">PRIVATE</x:t>
        </x:is>
      </x:c>
      <x:c r="H67" s="2" t="inlineStr">
        <x:is>
          <x:t xml:space="preserve">Normal</x:t>
        </x:is>
      </x:c>
      <x:c r="I67" s="3" t="n">
        <x:f>FALSE()</x:f>
        <x:v>0</x:v>
      </x:c>
      <x:c r="J67" s="4" t="n">
        <x:v>45945.62708333333</x:v>
      </x:c>
      <x:c r="K67" s="3" t="n">
        <x:v>2</x:v>
      </x:c>
      <x:c r="L67" s="2" t="inlineStr">
        <x:is>
          <x:t xml:space="preserve">35069</x:t>
        </x:is>
      </x:c>
      <x:c r="M67" s="2" t="inlineStr">
        <x:is>
          <x:t xml:space="preserve">IX Estate Syrah</x:t>
        </x:is>
      </x:c>
      <x:c r="N67" s="2" t="inlineStr">
        <x:is>
          <x:t xml:space="preserve">63242</x:t>
        </x:is>
      </x:c>
      <x:c r="O67" s="5" t="n">
        <x:v>380</x:v>
      </x:c>
      <x:c r="P67" s="2" t="inlineStr">
        <x:is>
          <x:t xml:space="preserve">2022</x:t>
        </x:is>
      </x:c>
      <x:c r="Q67" s="2" t="inlineStr">
        <x:is>
          <x:t xml:space="preserve">Colgin Cellars</x:t>
        </x:is>
      </x:c>
      <x:c r="R67" s="3" t="n">
        <x:v>1</x:v>
      </x:c>
      <x:c r="S67" s="3" t="n">
        <x:v>17</x:v>
      </x:c>
      <x:c r="T67" s="3" t="n">
        <x:v>4</x:v>
      </x:c>
      <x:c r="U67" s="5" t="n">
        <x:v>23.53</x:v>
      </x:c>
      <x:c r="V67" s="5" t="n">
        <x:v>7741.63281649108757</x:v>
      </x:c>
      <x:c r="W67" s="3" t="n">
        <x:f>FALSE()</x:f>
        <x:v>0</x:v>
      </x:c>
    </x:row>
    <x:row r="68">
      <x:c r="A68" s="2" t="inlineStr">
        <x:is>
          <x:t xml:space="preserve">Last month</x:t>
        </x:is>
      </x:c>
      <x:c r="B68" s="2" t="inlineStr">
        <x:is>
          <x:t xml:space="preserve">01.10.25 00:00..31.10.25 23:59</x:t>
        </x:is>
      </x:c>
      <x:c r="C68" s="2" t="inlineStr">
        <x:is>
          <x:t xml:space="preserve">Campaign Sales Statistics is being updated.</x:t>
        </x:is>
      </x:c>
      <x:c r="D68" s="2" t="inlineStr">
        <x:is>
          <x:t xml:space="preserve">Campaign Sales Statistics updated at: 03.11.25 15:31</x:t>
        </x:is>
      </x:c>
      <x:c r="E68" s="2" t="inlineStr">
        <x:is>
          <x:t xml:space="preserve">CM-25-02803</x:t>
        </x:is>
      </x:c>
      <x:c r="F68" s="2" t="inlineStr">
        <x:is>
          <x:t xml:space="preserve">Ipsus 2021-(1/2)-bght&gt;800</x:t>
        </x:is>
      </x:c>
      <x:c r="G68" s="2" t="inlineStr">
        <x:is>
          <x:t xml:space="preserve">PRIVATE</x:t>
        </x:is>
      </x:c>
      <x:c r="H68" s="2" t="inlineStr">
        <x:is>
          <x:t xml:space="preserve">Normal</x:t>
        </x:is>
      </x:c>
      <x:c r="I68" s="3" t="n">
        <x:f>TRUE()</x:f>
        <x:v>1</x:v>
      </x:c>
      <x:c r="J68" s="4" t="n">
        <x:v>45945.46041666667</x:v>
      </x:c>
      <x:c r="K68" s="3" t="n">
        <x:v>2</x:v>
      </x:c>
      <x:c r="L68" s="2" t="inlineStr">
        <x:is>
          <x:t xml:space="preserve">10964</x:t>
        </x:is>
      </x:c>
      <x:c r="M68" s="2" t="inlineStr">
        <x:is>
          <x:t xml:space="preserve">Gran Selezione Ipsus</x:t>
        </x:is>
      </x:c>
      <x:c r="N68" s="2" t="inlineStr">
        <x:is>
          <x:t xml:space="preserve">65785</x:t>
        </x:is>
      </x:c>
      <x:c r="O68" s="5" t="n">
        <x:v>280</x:v>
      </x:c>
      <x:c r="P68" s="2" t="inlineStr">
        <x:is>
          <x:t xml:space="preserve">2021</x:t>
        </x:is>
      </x:c>
      <x:c r="Q68" s="2" t="inlineStr">
        <x:is>
          <x:t xml:space="preserve">Marchesi Mazzei Il Caggio</x:t>
        </x:is>
      </x:c>
      <x:c r="R68" s="3" t="n">
        <x:v>1</x:v>
      </x:c>
      <x:c r="S68" s="3" t="n">
        <x:v>1266</x:v>
      </x:c>
      <x:c r="T68" s="3" t="n">
        <x:v>26</x:v>
      </x:c>
      <x:c r="U68" s="5" t="n">
        <x:v>2.05</x:v>
      </x:c>
      <x:c r="V68" s="5" t="n">
        <x:v>68241.9690937081475</x:v>
      </x:c>
      <x:c r="W68" s="3" t="n">
        <x:f>FALSE()</x:f>
        <x:v>0</x:v>
      </x:c>
    </x:row>
    <x:row r="69">
      <x:c r="A69" s="2" t="inlineStr">
        <x:is>
          <x:t xml:space="preserve">Last month</x:t>
        </x:is>
      </x:c>
      <x:c r="B69" s="2" t="inlineStr">
        <x:is>
          <x:t xml:space="preserve">01.10.25 00:00..31.10.25 23:59</x:t>
        </x:is>
      </x:c>
      <x:c r="C69" s="2" t="inlineStr">
        <x:is>
          <x:t xml:space="preserve">Campaign Sales Statistics is being updated.</x:t>
        </x:is>
      </x:c>
      <x:c r="D69" s="2" t="inlineStr">
        <x:is>
          <x:t xml:space="preserve">Campaign Sales Statistics updated at: 03.11.25 15:31</x:t>
        </x:is>
      </x:c>
      <x:c r="E69" s="2" t="inlineStr">
        <x:is>
          <x:t xml:space="preserve">CM-25-02799</x:t>
        </x:is>
      </x:c>
      <x:c r="F69" s="2" t="inlineStr">
        <x:is>
          <x:t xml:space="preserve">Sodi 2019-(1/1)-bght ITA for&lt;800pbl</x:t>
        </x:is>
      </x:c>
      <x:c r="G69" s="2" t="inlineStr">
        <x:is>
          <x:t xml:space="preserve">PRIVATE</x:t>
        </x:is>
      </x:c>
      <x:c r="H69" s="2" t="inlineStr">
        <x:is>
          <x:t xml:space="preserve">Normal</x:t>
        </x:is>
      </x:c>
      <x:c r="I69" s="3" t="n">
        <x:f>FALSE()</x:f>
        <x:v>0</x:v>
      </x:c>
      <x:c r="J69" s="4" t="n">
        <x:v>45945.4375</x:v>
      </x:c>
      <x:c r="K69" s="3" t="n">
        <x:v>1</x:v>
      </x:c>
      <x:c r="L69" s="2" t="inlineStr">
        <x:is>
          <x:t xml:space="preserve">2991</x:t>
        </x:is>
      </x:c>
      <x:c r="M69" s="2" t="inlineStr">
        <x:is>
          <x:t xml:space="preserve">I Sodi di San Niccolò</x:t>
        </x:is>
      </x:c>
      <x:c r="N69" s="2" t="inlineStr">
        <x:is>
          <x:t xml:space="preserve">65780</x:t>
        </x:is>
      </x:c>
      <x:c r="O69" s="5" t="n">
        <x:v>46</x:v>
      </x:c>
      <x:c r="P69" s="2" t="inlineStr">
        <x:is>
          <x:t xml:space="preserve">2019</x:t>
        </x:is>
      </x:c>
      <x:c r="Q69" s="2" t="inlineStr">
        <x:is>
          <x:t xml:space="preserve">Domini Castellare di Castellina</x:t>
        </x:is>
      </x:c>
      <x:c r="R69" s="3" t="n">
        <x:v>1</x:v>
      </x:c>
      <x:c r="S69" s="3" t="n">
        <x:v>1917</x:v>
      </x:c>
      <x:c r="T69" s="3" t="n">
        <x:v>66</x:v>
      </x:c>
      <x:c r="U69" s="5" t="n">
        <x:v>3.44</x:v>
      </x:c>
      <x:c r="V69" s="5" t="n">
        <x:v>33683.9575373824679</x:v>
      </x:c>
      <x:c r="W69" s="3" t="n">
        <x:f>FALSE()</x:f>
        <x:v>0</x:v>
      </x:c>
    </x:row>
    <x:row r="70">
      <x:c r="A70" s="2" t="inlineStr">
        <x:is>
          <x:t xml:space="preserve">Last month</x:t>
        </x:is>
      </x:c>
      <x:c r="B70" s="2" t="inlineStr">
        <x:is>
          <x:t xml:space="preserve">01.10.25 00:00..31.10.25 23:59</x:t>
        </x:is>
      </x:c>
      <x:c r="C70" s="2" t="inlineStr">
        <x:is>
          <x:t xml:space="preserve">Campaign Sales Statistics is being updated.</x:t>
        </x:is>
      </x:c>
      <x:c r="D70" s="2" t="inlineStr">
        <x:is>
          <x:t xml:space="preserve">Campaign Sales Statistics updated at: 03.11.25 15:31</x:t>
        </x:is>
      </x:c>
      <x:c r="E70" s="2" t="inlineStr">
        <x:is>
          <x:t xml:space="preserve">CM-25-02800</x:t>
        </x:is>
      </x:c>
      <x:c r="F70" s="2" t="inlineStr">
        <x:is>
          <x:t xml:space="preserve">DD_1 -Redigaffi Parcel 7 2013 MGM-(1/1)-Bght Redigaffi 3x (≠vintage)</x:t>
        </x:is>
      </x:c>
      <x:c r="G70" s="2" t="inlineStr">
        <x:is>
          <x:t xml:space="preserve">PRIVATE</x:t>
        </x:is>
      </x:c>
      <x:c r="H70" s="2" t="inlineStr">
        <x:is>
          <x:t xml:space="preserve">Normal</x:t>
        </x:is>
      </x:c>
      <x:c r="I70" s="3" t="n">
        <x:f>FALSE()</x:f>
        <x:v>0</x:v>
      </x:c>
      <x:c r="J70" s="4" t="n">
        <x:v>45944.81458333333</x:v>
      </x:c>
      <x:c r="K70" s="3" t="n">
        <x:v>1</x:v>
      </x:c>
      <x:c r="L70" s="2" t="inlineStr">
        <x:is>
          <x:t xml:space="preserve">44161</x:t>
        </x:is>
      </x:c>
      <x:c r="M70" s="2" t="inlineStr">
        <x:is>
          <x:t xml:space="preserve">Redigaffi 7 (Limited Edition)</x:t>
        </x:is>
      </x:c>
      <x:c r="N70" s="2" t="inlineStr">
        <x:is>
          <x:t xml:space="preserve">54901</x:t>
        </x:is>
      </x:c>
      <x:c r="O70" s="5" t="n">
        <x:v>1350</x:v>
      </x:c>
      <x:c r="P70" s="2" t="inlineStr">
        <x:is>
          <x:t xml:space="preserve">2013</x:t>
        </x:is>
      </x:c>
      <x:c r="Q70" s="2" t="inlineStr">
        <x:is>
          <x:t xml:space="preserve">Azienda Agricola Tua Rita</x:t>
        </x:is>
      </x:c>
      <x:c r="R70" s="3" t="n">
        <x:v>1</x:v>
      </x:c>
      <x:c r="S70" s="3" t="n">
        <x:v>20</x:v>
      </x:c>
      <x:c r="T70" s="3" t="n">
        <x:v>0</x:v>
      </x:c>
      <x:c r="U70" s="5" t="n">
        <x:v>0</x:v>
      </x:c>
      <x:c r="V70" s="5" t="n">
        <x:v>0</x:v>
      </x:c>
      <x:c r="W70" s="3" t="n">
        <x:f>TRUE()</x:f>
        <x:v>1</x:v>
      </x:c>
    </x:row>
    <x:row r="71">
      <x:c r="A71" s="2" t="inlineStr">
        <x:is>
          <x:t xml:space="preserve">Last month</x:t>
        </x:is>
      </x:c>
      <x:c r="B71" s="2" t="inlineStr">
        <x:is>
          <x:t xml:space="preserve">01.10.25 00:00..31.10.25 23:59</x:t>
        </x:is>
      </x:c>
      <x:c r="C71" s="2" t="inlineStr">
        <x:is>
          <x:t xml:space="preserve">Campaign Sales Statistics is being updated.</x:t>
        </x:is>
      </x:c>
      <x:c r="D71" s="2" t="inlineStr">
        <x:is>
          <x:t xml:space="preserve">Campaign Sales Statistics updated at: 03.11.25 15:31</x:t>
        </x:is>
      </x:c>
      <x:c r="E71" s="2" t="inlineStr">
        <x:is>
          <x:t xml:space="preserve">CM-25-02802</x:t>
        </x:is>
      </x:c>
      <x:c r="F71" s="2" t="inlineStr">
        <x:is>
          <x:t xml:space="preserve">La Tache 2016-0-paid&gt;1K pbt &amp; nwth&gt;10</x:t>
        </x:is>
      </x:c>
      <x:c r="G71" s="2" t="inlineStr">
        <x:is>
          <x:t xml:space="preserve">PRIVATE</x:t>
        </x:is>
      </x:c>
      <x:c r="H71" s="2" t="inlineStr">
        <x:is>
          <x:t xml:space="preserve">Normal</x:t>
        </x:is>
      </x:c>
      <x:c r="I71" s="3" t="n">
        <x:f>FALSE()</x:f>
        <x:v>0</x:v>
      </x:c>
      <x:c r="J71" s="4" t="n">
        <x:v>45944.7565940162</x:v>
      </x:c>
      <x:c r="K71" s="3" t="n">
        <x:v>1</x:v>
      </x:c>
      <x:c r="L71" s="2" t="inlineStr">
        <x:is>
          <x:t xml:space="preserve">6789</x:t>
        </x:is>
      </x:c>
      <x:c r="M71" s="2" t="inlineStr">
        <x:is>
          <x:t xml:space="preserve">DRC la Tâche</x:t>
        </x:is>
      </x:c>
      <x:c r="N71" s="2" t="inlineStr">
        <x:is>
          <x:t xml:space="preserve">49419</x:t>
        </x:is>
      </x:c>
      <x:c r="O71" s="5" t="n">
        <x:v>6400</x:v>
      </x:c>
      <x:c r="P71" s="2" t="inlineStr">
        <x:is>
          <x:t xml:space="preserve">2016</x:t>
        </x:is>
      </x:c>
      <x:c r="Q71" s="2" t="inlineStr">
        <x:is>
          <x:t xml:space="preserve">Domaine de la Romanée Conti</x:t>
        </x:is>
      </x:c>
      <x:c r="R71" s="3" t="n">
        <x:v>1</x:v>
      </x:c>
      <x:c r="S71" s="3" t="n">
        <x:v>133</x:v>
      </x:c>
      <x:c r="T71" s="3" t="n">
        <x:v>1</x:v>
      </x:c>
      <x:c r="U71" s="5" t="n">
        <x:v>0.75</x:v>
      </x:c>
      <x:c r="V71" s="5" t="n">
        <x:v>33792</x:v>
      </x:c>
      <x:c r="W71" s="3" t="n">
        <x:f>FALSE()</x:f>
        <x:v>0</x:v>
      </x:c>
    </x:row>
    <x:row r="72">
      <x:c r="A72" s="2" t="inlineStr">
        <x:is>
          <x:t xml:space="preserve">Last month</x:t>
        </x:is>
      </x:c>
      <x:c r="B72" s="2" t="inlineStr">
        <x:is>
          <x:t xml:space="preserve">01.10.25 00:00..31.10.25 23:59</x:t>
        </x:is>
      </x:c>
      <x:c r="C72" s="2" t="inlineStr">
        <x:is>
          <x:t xml:space="preserve">Campaign Sales Statistics is being updated.</x:t>
        </x:is>
      </x:c>
      <x:c r="D72" s="2" t="inlineStr">
        <x:is>
          <x:t xml:space="preserve">Campaign Sales Statistics updated at: 03.11.25 15:31</x:t>
        </x:is>
      </x:c>
      <x:c r="E72" s="2" t="inlineStr">
        <x:is>
          <x:t xml:space="preserve">CM-25-02787</x:t>
        </x:is>
      </x:c>
      <x:c r="F72" s="2" t="inlineStr">
        <x:is>
          <x:t xml:space="preserve">Salvadori  Nals Margreid 2022-(1/2)-bght Quarz </x:t>
        </x:is>
      </x:c>
      <x:c r="G72" s="2" t="inlineStr">
        <x:is>
          <x:t xml:space="preserve">PRIVATE</x:t>
        </x:is>
      </x:c>
      <x:c r="H72" s="2" t="inlineStr">
        <x:is>
          <x:t xml:space="preserve">Normal</x:t>
        </x:is>
      </x:c>
      <x:c r="I72" s="3" t="n">
        <x:f>FALSE()</x:f>
        <x:v>0</x:v>
      </x:c>
      <x:c r="J72" s="4" t="n">
        <x:v>45944.604166666664</x:v>
      </x:c>
      <x:c r="K72" s="3" t="n">
        <x:v>2</x:v>
      </x:c>
      <x:c r="L72" s="2" t="inlineStr">
        <x:is>
          <x:t xml:space="preserve">11240</x:t>
        </x:is>
      </x:c>
      <x:c r="M72" s="2" t="inlineStr">
        <x:is>
          <x:t xml:space="preserve">Chardonnay Riserva Baron Salvadori</x:t>
        </x:is>
      </x:c>
      <x:c r="N72" s="2" t="inlineStr">
        <x:is>
          <x:t xml:space="preserve">65773</x:t>
        </x:is>
      </x:c>
      <x:c r="O72" s="5" t="n">
        <x:v>33</x:v>
      </x:c>
      <x:c r="P72" s="2" t="inlineStr">
        <x:is>
          <x:t xml:space="preserve">2022</x:t>
        </x:is>
      </x:c>
      <x:c r="Q72" s="2" t="inlineStr">
        <x:is>
          <x:t xml:space="preserve">Nals Margreid</x:t>
        </x:is>
      </x:c>
      <x:c r="R72" s="3" t="n">
        <x:v>1</x:v>
      </x:c>
      <x:c r="S72" s="3" t="n">
        <x:v>2342</x:v>
      </x:c>
      <x:c r="T72" s="3" t="n">
        <x:v>49</x:v>
      </x:c>
      <x:c r="U72" s="5" t="n">
        <x:v>2.09</x:v>
      </x:c>
      <x:c r="V72" s="5" t="n">
        <x:v>13950.5241996308927</x:v>
      </x:c>
      <x:c r="W72" s="3" t="n">
        <x:f>FALSE()</x:f>
        <x:v>0</x:v>
      </x:c>
    </x:row>
    <x:row r="73">
      <x:c r="A73" s="2" t="inlineStr">
        <x:is>
          <x:t xml:space="preserve">Last month</x:t>
        </x:is>
      </x:c>
      <x:c r="B73" s="2" t="inlineStr">
        <x:is>
          <x:t xml:space="preserve">01.10.25 00:00..31.10.25 23:59</x:t>
        </x:is>
      </x:c>
      <x:c r="C73" s="2" t="inlineStr">
        <x:is>
          <x:t xml:space="preserve">Campaign Sales Statistics is being updated.</x:t>
        </x:is>
      </x:c>
      <x:c r="D73" s="2" t="inlineStr">
        <x:is>
          <x:t xml:space="preserve">Campaign Sales Statistics updated at: 03.11.25 15:31</x:t>
        </x:is>
      </x:c>
      <x:c r="E73" s="2" t="inlineStr">
        <x:is>
          <x:t xml:space="preserve">CM-25-02785</x:t>
        </x:is>
      </x:c>
      <x:c r="F73" s="2" t="inlineStr">
        <x:is>
          <x:t xml:space="preserve">Nama 2021-(1/1)-spent&gt;100 white</x:t>
        </x:is>
      </x:c>
      <x:c r="G73" s="2" t="inlineStr">
        <x:is>
          <x:t xml:space="preserve">PRIVATE</x:t>
        </x:is>
      </x:c>
      <x:c r="H73" s="2" t="inlineStr">
        <x:is>
          <x:t xml:space="preserve">Normal</x:t>
        </x:is>
      </x:c>
      <x:c r="I73" s="3" t="n">
        <x:f>FALSE()</x:f>
        <x:v>0</x:v>
      </x:c>
      <x:c r="J73" s="4" t="n">
        <x:v>45944.461805555555</x:v>
      </x:c>
      <x:c r="K73" s="3" t="n">
        <x:v>1</x:v>
      </x:c>
      <x:c r="L73" s="2" t="inlineStr">
        <x:is>
          <x:t xml:space="preserve">10979</x:t>
        </x:is>
      </x:c>
      <x:c r="M73" s="2" t="inlineStr">
        <x:is>
          <x:t xml:space="preserve">Chardonnay Nama</x:t>
        </x:is>
      </x:c>
      <x:c r="N73" s="2" t="inlineStr">
        <x:is>
          <x:t xml:space="preserve">65776</x:t>
        </x:is>
      </x:c>
      <x:c r="O73" s="5" t="n">
        <x:v>118</x:v>
      </x:c>
      <x:c r="P73" s="2" t="inlineStr">
        <x:is>
          <x:t xml:space="preserve">2021</x:t>
        </x:is>
      </x:c>
      <x:c r="Q73" s="2" t="inlineStr">
        <x:is>
          <x:t xml:space="preserve">Nals Margreid</x:t>
        </x:is>
      </x:c>
      <x:c r="R73" s="3" t="n">
        <x:v>1</x:v>
      </x:c>
      <x:c r="S73" s="3" t="n">
        <x:v>388</x:v>
      </x:c>
      <x:c r="T73" s="3" t="n">
        <x:v>20</x:v>
      </x:c>
      <x:c r="U73" s="5" t="n">
        <x:v>5.15</x:v>
      </x:c>
      <x:c r="V73" s="5" t="n">
        <x:v>16609.4409608755482</x:v>
      </x:c>
      <x:c r="W73" s="3" t="n">
        <x:f>FALSE()</x:f>
        <x:v>0</x:v>
      </x:c>
    </x:row>
    <x:row r="74">
      <x:c r="A74" s="2" t="inlineStr">
        <x:is>
          <x:t xml:space="preserve">Last month</x:t>
        </x:is>
      </x:c>
      <x:c r="B74" s="2" t="inlineStr">
        <x:is>
          <x:t xml:space="preserve">01.10.25 00:00..31.10.25 23:59</x:t>
        </x:is>
      </x:c>
      <x:c r="C74" s="2" t="inlineStr">
        <x:is>
          <x:t xml:space="preserve">Campaign Sales Statistics is being updated.</x:t>
        </x:is>
      </x:c>
      <x:c r="D74" s="2" t="inlineStr">
        <x:is>
          <x:t xml:space="preserve">Campaign Sales Statistics updated at: 03.11.25 15:31</x:t>
        </x:is>
      </x:c>
      <x:c r="E74" s="2" t="inlineStr">
        <x:is>
          <x:t xml:space="preserve">CM-25-02784</x:t>
        </x:is>
      </x:c>
      <x:c r="F74" s="2" t="inlineStr">
        <x:is>
          <x:t xml:space="preserve">Nama 2020-(1/1)-spent&gt;100 white</x:t>
        </x:is>
      </x:c>
      <x:c r="G74" s="2" t="inlineStr">
        <x:is>
          <x:t xml:space="preserve">PRIVATE</x:t>
        </x:is>
      </x:c>
      <x:c r="H74" s="2" t="inlineStr">
        <x:is>
          <x:t xml:space="preserve">Normal</x:t>
        </x:is>
      </x:c>
      <x:c r="I74" s="3" t="n">
        <x:f>FALSE()</x:f>
        <x:v>0</x:v>
      </x:c>
      <x:c r="J74" s="4" t="n">
        <x:v>45944.46041666667</x:v>
      </x:c>
      <x:c r="K74" s="3" t="n">
        <x:v>1</x:v>
      </x:c>
      <x:c r="L74" s="2" t="inlineStr">
        <x:is>
          <x:t xml:space="preserve">10979</x:t>
        </x:is>
      </x:c>
      <x:c r="M74" s="2" t="inlineStr">
        <x:is>
          <x:t xml:space="preserve">Chardonnay Nama</x:t>
        </x:is>
      </x:c>
      <x:c r="N74" s="2" t="inlineStr">
        <x:is>
          <x:t xml:space="preserve">62708</x:t>
        </x:is>
      </x:c>
      <x:c r="O74" s="5" t="n">
        <x:v>116</x:v>
      </x:c>
      <x:c r="P74" s="2" t="inlineStr">
        <x:is>
          <x:t xml:space="preserve">2020</x:t>
        </x:is>
      </x:c>
      <x:c r="Q74" s="2" t="inlineStr">
        <x:is>
          <x:t xml:space="preserve">Nals Margreid</x:t>
        </x:is>
      </x:c>
      <x:c r="R74" s="3" t="n">
        <x:v>1</x:v>
      </x:c>
      <x:c r="S74" s="3" t="n">
        <x:v>186</x:v>
      </x:c>
      <x:c r="T74" s="3" t="n">
        <x:v>8</x:v>
      </x:c>
      <x:c r="U74" s="5" t="n">
        <x:v>4.3</x:v>
      </x:c>
      <x:c r="V74" s="5" t="n">
        <x:v>6103.39098057354302</x:v>
      </x:c>
      <x:c r="W74" s="3" t="n">
        <x:f>FALSE()</x:f>
        <x:v>0</x:v>
      </x:c>
    </x:row>
    <x:row r="75">
      <x:c r="A75" s="2" t="inlineStr">
        <x:is>
          <x:t xml:space="preserve">Last month</x:t>
        </x:is>
      </x:c>
      <x:c r="B75" s="2" t="inlineStr">
        <x:is>
          <x:t xml:space="preserve">01.10.25 00:00..31.10.25 23:59</x:t>
        </x:is>
      </x:c>
      <x:c r="C75" s="2" t="inlineStr">
        <x:is>
          <x:t xml:space="preserve">Campaign Sales Statistics is being updated.</x:t>
        </x:is>
      </x:c>
      <x:c r="D75" s="2" t="inlineStr">
        <x:is>
          <x:t xml:space="preserve">Campaign Sales Statistics updated at: 03.11.25 15:31</x:t>
        </x:is>
      </x:c>
      <x:c r="E75" s="2" t="inlineStr">
        <x:is>
          <x:t xml:space="preserve">CM-25-02778</x:t>
        </x:is>
      </x:c>
      <x:c r="F75" s="2" t="inlineStr">
        <x:is>
          <x:t xml:space="preserve">RECALL: HORECA: Mission Haut Brion-Active</x:t>
        </x:is>
      </x:c>
      <x:c r="G75" s="2" t="inlineStr">
        <x:is>
          <x:t xml:space="preserve">HORECA</x:t>
        </x:is>
      </x:c>
      <x:c r="H75" s="2" t="inlineStr">
        <x:is>
          <x:t xml:space="preserve">Normal</x:t>
        </x:is>
      </x:c>
      <x:c r="I75" s="3" t="n">
        <x:f>FALSE()</x:f>
        <x:v>0</x:v>
      </x:c>
      <x:c r="J75" s="4" t="n">
        <x:v>45943.66805555556</x:v>
      </x:c>
      <x:c r="K75" s="3" t="n">
        <x:v>1</x:v>
      </x:c>
      <x:c r="L75" s="2" t="inlineStr">
        <x:is>
          <x:t xml:space="preserve">1549</x:t>
        </x:is>
      </x:c>
      <x:c r="M75" s="2" t="inlineStr">
        <x:is>
          <x:t xml:space="preserve">La Mission Haut-Brion</x:t>
        </x:is>
      </x:c>
      <x:c r="N75" s="2" t="inlineStr">
        <x:is>
          <x:t xml:space="preserve">55704</x:t>
        </x:is>
      </x:c>
      <x:c r="O75" s="5" t="n">
        <x:v>160</x:v>
      </x:c>
      <x:c r="P75" s="2" t="inlineStr">
        <x:is>
          <x:t xml:space="preserve">2021</x:t>
        </x:is>
      </x:c>
      <x:c r="Q75" s="2" t="inlineStr">
        <x:is>
          <x:t xml:space="preserve">Château La Mission Haut Brion</x:t>
        </x:is>
      </x:c>
      <x:c r="R75" s="3" t="n">
        <x:v>1</x:v>
      </x:c>
      <x:c r="S75" s="3" t="n">
        <x:v>271</x:v>
      </x:c>
      <x:c r="T75" s="3" t="n">
        <x:v>9</x:v>
      </x:c>
      <x:c r="U75" s="5" t="n">
        <x:v>3.32</x:v>
      </x:c>
      <x:c r="V75" s="5" t="n">
        <x:v>14458.1866817623262</x:v>
      </x:c>
      <x:c r="W75" s="3" t="n">
        <x:f>FALSE()</x:f>
        <x:v>0</x:v>
      </x:c>
    </x:row>
    <x:row r="76">
      <x:c r="A76" s="2" t="inlineStr">
        <x:is>
          <x:t xml:space="preserve">Last month</x:t>
        </x:is>
      </x:c>
      <x:c r="B76" s="2" t="inlineStr">
        <x:is>
          <x:t xml:space="preserve">01.10.25 00:00..31.10.25 23:59</x:t>
        </x:is>
      </x:c>
      <x:c r="C76" s="2" t="inlineStr">
        <x:is>
          <x:t xml:space="preserve">Campaign Sales Statistics is being updated.</x:t>
        </x:is>
      </x:c>
      <x:c r="D76" s="2" t="inlineStr">
        <x:is>
          <x:t xml:space="preserve">Campaign Sales Statistics updated at: 03.11.25 15:31</x:t>
        </x:is>
      </x:c>
      <x:c r="E76" s="2" t="inlineStr">
        <x:is>
          <x:t xml:space="preserve">CM-25-02776</x:t>
        </x:is>
      </x:c>
      <x:c r="F76" s="2" t="inlineStr">
        <x:is>
          <x:t xml:space="preserve">Marsau 2022-0-BDG</x:t>
        </x:is>
      </x:c>
      <x:c r="G76" s="2" t="inlineStr">
        <x:is>
          <x:t xml:space="preserve">PRIVATE</x:t>
        </x:is>
      </x:c>
      <x:c r="H76" s="2" t="inlineStr">
        <x:is>
          <x:t xml:space="preserve">Normal</x:t>
        </x:is>
      </x:c>
      <x:c r="I76" s="3" t="n">
        <x:f>FALSE()</x:f>
        <x:v>0</x:v>
      </x:c>
      <x:c r="J76" s="4" t="n">
        <x:v>45943.46434259259</x:v>
      </x:c>
      <x:c r="K76" s="3" t="n">
        <x:v>1</x:v>
      </x:c>
      <x:c r="L76" s="2" t="inlineStr">
        <x:is>
          <x:t xml:space="preserve">35076</x:t>
        </x:is>
      </x:c>
      <x:c r="M76" s="2" t="inlineStr">
        <x:is>
          <x:t xml:space="preserve">Marsau</x:t>
        </x:is>
      </x:c>
      <x:c r="N76" s="2" t="inlineStr">
        <x:is>
          <x:t xml:space="preserve">57961</x:t>
        </x:is>
      </x:c>
      <x:c r="O76" s="5" t="n">
        <x:v>20</x:v>
      </x:c>
      <x:c r="P76" s="2" t="inlineStr">
        <x:is>
          <x:t xml:space="preserve">2022</x:t>
        </x:is>
      </x:c>
      <x:c r="Q76" s="2" t="inlineStr">
        <x:is>
          <x:t xml:space="preserve">Château Marsau</x:t>
        </x:is>
      </x:c>
      <x:c r="R76" s="3" t="n">
        <x:v>1</x:v>
      </x:c>
      <x:c r="S76" s="3" t="n">
        <x:v>505</x:v>
      </x:c>
      <x:c r="T76" s="3" t="n">
        <x:v>0</x:v>
      </x:c>
      <x:c r="U76" s="5" t="n">
        <x:v>0</x:v>
      </x:c>
      <x:c r="V76" s="5" t="n">
        <x:v>0</x:v>
      </x:c>
      <x:c r="W76" s="3" t="n">
        <x:f>FALSE()</x:f>
        <x:v>0</x:v>
      </x:c>
    </x:row>
    <x:row r="77">
      <x:c r="A77" s="2" t="inlineStr">
        <x:is>
          <x:t xml:space="preserve">Last month</x:t>
        </x:is>
      </x:c>
      <x:c r="B77" s="2" t="inlineStr">
        <x:is>
          <x:t xml:space="preserve">01.10.25 00:00..31.10.25 23:59</x:t>
        </x:is>
      </x:c>
      <x:c r="C77" s="2" t="inlineStr">
        <x:is>
          <x:t xml:space="preserve">Campaign Sales Statistics is being updated.</x:t>
        </x:is>
      </x:c>
      <x:c r="D77" s="2" t="inlineStr">
        <x:is>
          <x:t xml:space="preserve">Campaign Sales Statistics updated at: 03.11.25 15:31</x:t>
        </x:is>
      </x:c>
      <x:c r="E77" s="2" t="inlineStr">
        <x:is>
          <x:t xml:space="preserve">CM-25-02759</x:t>
        </x:is>
      </x:c>
      <x:c r="F77" s="2" t="inlineStr">
        <x:is>
          <x:t xml:space="preserve">Dominus 2016-(1/1)-bght&gt;200</x:t>
        </x:is>
      </x:c>
      <x:c r="G77" s="2" t="inlineStr">
        <x:is>
          <x:t xml:space="preserve">PRIVATE</x:t>
        </x:is>
      </x:c>
      <x:c r="H77" s="2" t="inlineStr">
        <x:is>
          <x:t xml:space="preserve">Normal</x:t>
        </x:is>
      </x:c>
      <x:c r="I77" s="3" t="n">
        <x:f>FALSE()</x:f>
        <x:v>0</x:v>
      </x:c>
      <x:c r="J77" s="4" t="n">
        <x:v>45943.46041666667</x:v>
      </x:c>
      <x:c r="K77" s="3" t="n">
        <x:v>5</x:v>
      </x:c>
      <x:c r="L77" s="2" t="inlineStr">
        <x:is>
          <x:t xml:space="preserve">3057</x:t>
        </x:is>
      </x:c>
      <x:c r="M77" s="2" t="inlineStr">
        <x:is>
          <x:t xml:space="preserve">Dominus</x:t>
        </x:is>
      </x:c>
      <x:c r="N77" s="2" t="inlineStr">
        <x:is>
          <x:t xml:space="preserve">49782</x:t>
        </x:is>
      </x:c>
      <x:c r="O77" s="5" t="n">
        <x:v>270</x:v>
      </x:c>
      <x:c r="P77" s="2" t="inlineStr">
        <x:is>
          <x:t xml:space="preserve">2016</x:t>
        </x:is>
      </x:c>
      <x:c r="Q77" s="2" t="inlineStr">
        <x:is>
          <x:t xml:space="preserve">Dominus Estate</x:t>
        </x:is>
      </x:c>
      <x:c r="R77" s="3" t="n">
        <x:v>1</x:v>
      </x:c>
      <x:c r="S77" s="3" t="n">
        <x:v>3111</x:v>
      </x:c>
      <x:c r="T77" s="3" t="n">
        <x:v>88</x:v>
      </x:c>
      <x:c r="U77" s="5" t="n">
        <x:v>2.83</x:v>
      </x:c>
      <x:c r="V77" s="5" t="n">
        <x:v>190566.670651092364</x:v>
      </x:c>
      <x:c r="W77" s="3" t="n">
        <x:f>FALSE()</x:f>
        <x:v>0</x:v>
      </x:c>
    </x:row>
    <x:row r="78">
      <x:c r="A78" s="2" t="inlineStr">
        <x:is>
          <x:t xml:space="preserve">Last month</x:t>
        </x:is>
      </x:c>
      <x:c r="B78" s="2" t="inlineStr">
        <x:is>
          <x:t xml:space="preserve">01.10.25 00:00..31.10.25 23:59</x:t>
        </x:is>
      </x:c>
      <x:c r="C78" s="2" t="inlineStr">
        <x:is>
          <x:t xml:space="preserve">Campaign Sales Statistics is being updated.</x:t>
        </x:is>
      </x:c>
      <x:c r="D78" s="2" t="inlineStr">
        <x:is>
          <x:t xml:space="preserve">Campaign Sales Statistics updated at: 03.11.25 15:31</x:t>
        </x:is>
      </x:c>
      <x:c r="E78" s="2" t="inlineStr">
        <x:is>
          <x:t xml:space="preserve">CM-25-02736</x:t>
        </x:is>
      </x:c>
      <x:c r="F78" s="2" t="inlineStr">
        <x:is>
          <x:t xml:space="preserve">Latour 2009-(1/1)-bght&gt;500 or nwht&gt;10</x:t>
        </x:is>
      </x:c>
      <x:c r="G78" s="2" t="inlineStr">
        <x:is>
          <x:t xml:space="preserve">PRIVATE</x:t>
        </x:is>
      </x:c>
      <x:c r="H78" s="2" t="inlineStr">
        <x:is>
          <x:t xml:space="preserve">Normal</x:t>
        </x:is>
      </x:c>
      <x:c r="I78" s="3" t="n">
        <x:f>FALSE()</x:f>
        <x:v>0</x:v>
      </x:c>
      <x:c r="J78" s="4" t="n">
        <x:v>45942.708333333336</x:v>
      </x:c>
      <x:c r="K78" s="3" t="n">
        <x:v>1</x:v>
      </x:c>
      <x:c r="L78" s="2" t="inlineStr">
        <x:is>
          <x:t xml:space="preserve">1603</x:t>
        </x:is>
      </x:c>
      <x:c r="M78" s="2" t="inlineStr">
        <x:is>
          <x:t xml:space="preserve">Latour</x:t>
        </x:is>
      </x:c>
      <x:c r="N78" s="2" t="inlineStr">
        <x:is>
          <x:t xml:space="preserve">10727</x:t>
        </x:is>
      </x:c>
      <x:c r="O78" s="5" t="n">
        <x:v>1055</x:v>
      </x:c>
      <x:c r="P78" s="2" t="inlineStr">
        <x:is>
          <x:t xml:space="preserve">2009</x:t>
        </x:is>
      </x:c>
      <x:c r="Q78" s="2" t="inlineStr">
        <x:is>
          <x:t xml:space="preserve">Château Latour</x:t>
        </x:is>
      </x:c>
      <x:c r="R78" s="3" t="n">
        <x:v>1</x:v>
      </x:c>
      <x:c r="S78" s="3" t="n">
        <x:v>893</x:v>
      </x:c>
      <x:c r="T78" s="3" t="n">
        <x:v>1</x:v>
      </x:c>
      <x:c r="U78" s="5" t="n">
        <x:v>0.11</x:v>
      </x:c>
      <x:c r="V78" s="5" t="n">
        <x:v>11140.8</x:v>
      </x:c>
      <x:c r="W78" s="3" t="n">
        <x:f>FALSE()</x:f>
        <x:v>0</x:v>
      </x:c>
    </x:row>
    <x:row r="79">
      <x:c r="A79" s="2" t="inlineStr">
        <x:is>
          <x:t xml:space="preserve">Last month</x:t>
        </x:is>
      </x:c>
      <x:c r="B79" s="2" t="inlineStr">
        <x:is>
          <x:t xml:space="preserve">01.10.25 00:00..31.10.25 23:59</x:t>
        </x:is>
      </x:c>
      <x:c r="C79" s="2" t="inlineStr">
        <x:is>
          <x:t xml:space="preserve">Campaign Sales Statistics is being updated.</x:t>
        </x:is>
      </x:c>
      <x:c r="D79" s="2" t="inlineStr">
        <x:is>
          <x:t xml:space="preserve">Campaign Sales Statistics updated at: 03.11.25 15:31</x:t>
        </x:is>
      </x:c>
      <x:c r="E79" s="2" t="inlineStr">
        <x:is>
          <x:t xml:space="preserve">CM-25-02757</x:t>
        </x:is>
      </x:c>
      <x:c r="F79" s="2" t="inlineStr">
        <x:is>
          <x:t xml:space="preserve">HORECA: Mission Haut Brion-Active</x:t>
        </x:is>
      </x:c>
      <x:c r="G79" s="2" t="inlineStr">
        <x:is>
          <x:t xml:space="preserve">HORECA</x:t>
        </x:is>
      </x:c>
      <x:c r="H79" s="2" t="inlineStr">
        <x:is>
          <x:t xml:space="preserve">Normal</x:t>
        </x:is>
      </x:c>
      <x:c r="I79" s="3" t="n">
        <x:f>FALSE()</x:f>
        <x:v>0</x:v>
      </x:c>
      <x:c r="J79" s="4" t="n">
        <x:v>45942.66875</x:v>
      </x:c>
      <x:c r="K79" s="3" t="n">
        <x:v>1</x:v>
      </x:c>
      <x:c r="L79" s="2" t="inlineStr">
        <x:is>
          <x:t xml:space="preserve">1549</x:t>
        </x:is>
      </x:c>
      <x:c r="M79" s="2" t="inlineStr">
        <x:is>
          <x:t xml:space="preserve">La Mission Haut-Brion</x:t>
        </x:is>
      </x:c>
      <x:c r="N79" s="2" t="inlineStr">
        <x:is>
          <x:t xml:space="preserve">55704</x:t>
        </x:is>
      </x:c>
      <x:c r="O79" s="5" t="n">
        <x:v>160</x:v>
      </x:c>
      <x:c r="P79" s="2" t="inlineStr">
        <x:is>
          <x:t xml:space="preserve">2021</x:t>
        </x:is>
      </x:c>
      <x:c r="Q79" s="2" t="inlineStr">
        <x:is>
          <x:t xml:space="preserve">Château La Mission Haut Brion</x:t>
        </x:is>
      </x:c>
      <x:c r="R79" s="3" t="n">
        <x:v>1</x:v>
      </x:c>
      <x:c r="S79" s="3" t="n">
        <x:v>282</x:v>
      </x:c>
      <x:c r="T79" s="3" t="n">
        <x:v>2</x:v>
      </x:c>
      <x:c r="U79" s="5" t="n">
        <x:v>0.71</x:v>
      </x:c>
      <x:c r="V79" s="5" t="n">
        <x:v>1879.96244494456487</x:v>
      </x:c>
      <x:c r="W79" s="3" t="n">
        <x:f>FALSE()</x:f>
        <x:v>0</x:v>
      </x:c>
    </x:row>
    <x:row r="80">
      <x:c r="A80" s="2" t="inlineStr">
        <x:is>
          <x:t xml:space="preserve">Last month</x:t>
        </x:is>
      </x:c>
      <x:c r="B80" s="2" t="inlineStr">
        <x:is>
          <x:t xml:space="preserve">01.10.25 00:00..31.10.25 23:59</x:t>
        </x:is>
      </x:c>
      <x:c r="C80" s="2" t="inlineStr">
        <x:is>
          <x:t xml:space="preserve">Campaign Sales Statistics is being updated.</x:t>
        </x:is>
      </x:c>
      <x:c r="D80" s="2" t="inlineStr">
        <x:is>
          <x:t xml:space="preserve">Campaign Sales Statistics updated at: 03.11.25 15:31</x:t>
        </x:is>
      </x:c>
      <x:c r="E80" s="2" t="inlineStr">
        <x:is>
          <x:t xml:space="preserve">CM-25-02748</x:t>
        </x:is>
      </x:c>
      <x:c r="F80" s="2" t="inlineStr">
        <x:is>
          <x:t xml:space="preserve">Harlan Estate 2021-(1/3)-bhgt&gt;600 turn&gt;50000</x:t>
        </x:is>
      </x:c>
      <x:c r="G80" s="2" t="inlineStr">
        <x:is>
          <x:t xml:space="preserve">PRIVATE</x:t>
        </x:is>
      </x:c>
      <x:c r="H80" s="2" t="inlineStr">
        <x:is>
          <x:t xml:space="preserve">Normal</x:t>
        </x:is>
      </x:c>
      <x:c r="I80" s="3" t="n">
        <x:f>FALSE()</x:f>
        <x:v>0</x:v>
      </x:c>
      <x:c r="J80" s="4" t="n">
        <x:v>45942.58541666667</x:v>
      </x:c>
      <x:c r="K80" s="3" t="n">
        <x:v>3</x:v>
      </x:c>
      <x:c r="L80" s="2" t="inlineStr">
        <x:is>
          <x:t xml:space="preserve">3408</x:t>
        </x:is>
      </x:c>
      <x:c r="M80" s="2" t="inlineStr">
        <x:is>
          <x:t xml:space="preserve">Cabernet Sauvignon</x:t>
        </x:is>
      </x:c>
      <x:c r="N80" s="2" t="inlineStr">
        <x:is>
          <x:t xml:space="preserve">62804</x:t>
        </x:is>
      </x:c>
      <x:c r="O80" s="5" t="n">
        <x:v>1405</x:v>
      </x:c>
      <x:c r="P80" s="2" t="inlineStr">
        <x:is>
          <x:t xml:space="preserve">2021</x:t>
        </x:is>
      </x:c>
      <x:c r="Q80" s="2" t="inlineStr">
        <x:is>
          <x:t xml:space="preserve">Harlan Estate</x:t>
        </x:is>
      </x:c>
      <x:c r="R80" s="3" t="n">
        <x:v>1</x:v>
      </x:c>
      <x:c r="S80" s="3" t="n">
        <x:v>1010</x:v>
      </x:c>
      <x:c r="T80" s="3" t="n">
        <x:v>7</x:v>
      </x:c>
      <x:c r="U80" s="5" t="n">
        <x:v>0.69</x:v>
      </x:c>
      <x:c r="V80" s="5" t="n">
        <x:v>40028.0678723404255</x:v>
      </x:c>
      <x:c r="W80" s="3" t="n">
        <x:f>FALSE()</x:f>
        <x:v>0</x:v>
      </x:c>
    </x:row>
    <x:row r="81">
      <x:c r="A81" s="2" t="inlineStr">
        <x:is>
          <x:t xml:space="preserve">Last month</x:t>
        </x:is>
      </x:c>
      <x:c r="B81" s="2" t="inlineStr">
        <x:is>
          <x:t xml:space="preserve">01.10.25 00:00..31.10.25 23:59</x:t>
        </x:is>
      </x:c>
      <x:c r="C81" s="2" t="inlineStr">
        <x:is>
          <x:t xml:space="preserve">Campaign Sales Statistics is being updated.</x:t>
        </x:is>
      </x:c>
      <x:c r="D81" s="2" t="inlineStr">
        <x:is>
          <x:t xml:space="preserve">Campaign Sales Statistics updated at: 03.11.25 15:31</x:t>
        </x:is>
      </x:c>
      <x:c r="E81" s="2" t="inlineStr">
        <x:is>
          <x:t xml:space="preserve">CM-25-02747</x:t>
        </x:is>
      </x:c>
      <x:c r="F81" s="2" t="inlineStr">
        <x:is>
          <x:t xml:space="preserve">Meyney 2018 Magnum-(1/2)-Mid Range</x:t>
        </x:is>
      </x:c>
      <x:c r="G81" s="2" t="inlineStr">
        <x:is>
          <x:t xml:space="preserve">PRIVATE</x:t>
        </x:is>
      </x:c>
      <x:c r="H81" s="2" t="inlineStr">
        <x:is>
          <x:t xml:space="preserve">Normal</x:t>
        </x:is>
      </x:c>
      <x:c r="I81" s="3" t="n">
        <x:f>FALSE()</x:f>
        <x:v>0</x:v>
      </x:c>
      <x:c r="J81" s="4" t="n">
        <x:v>45942.41875</x:v>
      </x:c>
      <x:c r="K81" s="3" t="n">
        <x:v>2</x:v>
      </x:c>
      <x:c r="L81" s="2" t="inlineStr">
        <x:is>
          <x:t xml:space="preserve">1684</x:t>
        </x:is>
      </x:c>
      <x:c r="M81" s="2" t="inlineStr">
        <x:is>
          <x:t xml:space="preserve">Meyney</x:t>
        </x:is>
      </x:c>
      <x:c r="N81" s="2" t="inlineStr">
        <x:is>
          <x:t xml:space="preserve">49414</x:t>
        </x:is>
      </x:c>
      <x:c r="O81" s="5" t="n">
        <x:v>42</x:v>
      </x:c>
      <x:c r="P81" s="2" t="inlineStr">
        <x:is>
          <x:t xml:space="preserve">2018</x:t>
        </x:is>
      </x:c>
      <x:c r="Q81" s="2" t="inlineStr">
        <x:is>
          <x:t xml:space="preserve">Château Meyney</x:t>
        </x:is>
      </x:c>
      <x:c r="R81" s="3" t="n">
        <x:v>1</x:v>
      </x:c>
      <x:c r="S81" s="3" t="n">
        <x:v>1294</x:v>
      </x:c>
      <x:c r="T81" s="3" t="n">
        <x:v>41</x:v>
      </x:c>
      <x:c r="U81" s="5" t="n">
        <x:v>3.17</x:v>
      </x:c>
      <x:c r="V81" s="5" t="n">
        <x:v>11144.1644865404706</x:v>
      </x:c>
      <x:c r="W81" s="3" t="n">
        <x:f>FALSE()</x:f>
        <x:v>0</x:v>
      </x:c>
    </x:row>
    <x:row r="82">
      <x:c r="A82" s="2" t="inlineStr">
        <x:is>
          <x:t xml:space="preserve">Last month</x:t>
        </x:is>
      </x:c>
      <x:c r="B82" s="2" t="inlineStr">
        <x:is>
          <x:t xml:space="preserve">01.10.25 00:00..31.10.25 23:59</x:t>
        </x:is>
      </x:c>
      <x:c r="C82" s="2" t="inlineStr">
        <x:is>
          <x:t xml:space="preserve">Campaign Sales Statistics is being updated.</x:t>
        </x:is>
      </x:c>
      <x:c r="D82" s="2" t="inlineStr">
        <x:is>
          <x:t xml:space="preserve">Campaign Sales Statistics updated at: 03.11.25 15:31</x:t>
        </x:is>
      </x:c>
      <x:c r="E82" s="2" t="inlineStr">
        <x:is>
          <x:t xml:space="preserve">CM-25-02754</x:t>
        </x:is>
      </x:c>
      <x:c r="F82" s="2" t="inlineStr">
        <x:is>
          <x:t xml:space="preserve">DRC 1999-(1/1)-spent&gt;1K or  nwth&gt;100m</x:t>
        </x:is>
      </x:c>
      <x:c r="G82" s="2" t="inlineStr">
        <x:is>
          <x:t xml:space="preserve">PRIVATE</x:t>
        </x:is>
      </x:c>
      <x:c r="H82" s="2" t="inlineStr">
        <x:is>
          <x:t xml:space="preserve">Normal</x:t>
        </x:is>
      </x:c>
      <x:c r="I82" s="3" t="n">
        <x:f>FALSE()</x:f>
        <x:v>0</x:v>
      </x:c>
      <x:c r="J82" s="4" t="n">
        <x:v>45941.751388888886</x:v>
      </x:c>
      <x:c r="K82" s="3" t="n">
        <x:v>1</x:v>
      </x:c>
      <x:c r="L82" s="2" t="inlineStr">
        <x:is>
          <x:t xml:space="preserve">2282</x:t>
        </x:is>
      </x:c>
      <x:c r="M82" s="2" t="inlineStr">
        <x:is>
          <x:t xml:space="preserve">DRC Romanée Conti</x:t>
        </x:is>
      </x:c>
      <x:c r="N82" s="2" t="inlineStr">
        <x:is>
          <x:t xml:space="preserve">14584</x:t>
        </x:is>
      </x:c>
      <x:c r="O82" s="5" t="n">
        <x:v>31350</x:v>
      </x:c>
      <x:c r="P82" s="2" t="inlineStr">
        <x:is>
          <x:t xml:space="preserve">1999</x:t>
        </x:is>
      </x:c>
      <x:c r="Q82" s="2" t="inlineStr">
        <x:is>
          <x:t xml:space="preserve">Domaine de la Romanée Conti</x:t>
        </x:is>
      </x:c>
      <x:c r="R82" s="3" t="n">
        <x:v>1</x:v>
      </x:c>
      <x:c r="S82" s="3" t="n">
        <x:v>682</x:v>
      </x:c>
      <x:c r="T82" s="3" t="n">
        <x:v>0</x:v>
      </x:c>
      <x:c r="U82" s="5" t="n">
        <x:v>0</x:v>
      </x:c>
      <x:c r="V82" s="5" t="n">
        <x:v>0</x:v>
      </x:c>
      <x:c r="W82" s="3" t="n">
        <x:f>FALSE()</x:f>
        <x:v>0</x:v>
      </x:c>
    </x:row>
    <x:row r="83">
      <x:c r="A83" s="2" t="inlineStr">
        <x:is>
          <x:t xml:space="preserve">Last month</x:t>
        </x:is>
      </x:c>
      <x:c r="B83" s="2" t="inlineStr">
        <x:is>
          <x:t xml:space="preserve">01.10.25 00:00..31.10.25 23:59</x:t>
        </x:is>
      </x:c>
      <x:c r="C83" s="2" t="inlineStr">
        <x:is>
          <x:t xml:space="preserve">Campaign Sales Statistics is being updated.</x:t>
        </x:is>
      </x:c>
      <x:c r="D83" s="2" t="inlineStr">
        <x:is>
          <x:t xml:space="preserve">Campaign Sales Statistics updated at: 03.11.25 15:31</x:t>
        </x:is>
      </x:c>
      <x:c r="E83" s="2" t="inlineStr">
        <x:is>
          <x:t xml:space="preserve">CM-25-02740</x:t>
        </x:is>
      </x:c>
      <x:c r="F83" s="2" t="inlineStr">
        <x:is>
          <x:t xml:space="preserve">Ermita 2021-(1/2)-bght Ermita </x:t>
        </x:is>
      </x:c>
      <x:c r="G83" s="2" t="inlineStr">
        <x:is>
          <x:t xml:space="preserve">PRIVATE</x:t>
        </x:is>
      </x:c>
      <x:c r="H83" s="2" t="inlineStr">
        <x:is>
          <x:t xml:space="preserve">Normal</x:t>
        </x:is>
      </x:c>
      <x:c r="I83" s="3" t="n">
        <x:f>FALSE()</x:f>
        <x:v>0</x:v>
      </x:c>
      <x:c r="J83" s="4" t="n">
        <x:v>45941.62569444445</x:v>
      </x:c>
      <x:c r="K83" s="3" t="n">
        <x:v>2</x:v>
      </x:c>
      <x:c r="L83" s="2" t="inlineStr">
        <x:is>
          <x:t xml:space="preserve">3374</x:t>
        </x:is>
      </x:c>
      <x:c r="M83" s="2" t="inlineStr">
        <x:is>
          <x:t xml:space="preserve">L'Ermita</x:t>
        </x:is>
      </x:c>
      <x:c r="N83" s="2" t="inlineStr">
        <x:is>
          <x:t xml:space="preserve">59362</x:t>
        </x:is>
      </x:c>
      <x:c r="O83" s="5" t="n">
        <x:v>1075</x:v>
      </x:c>
      <x:c r="P83" s="2" t="inlineStr">
        <x:is>
          <x:t xml:space="preserve">2021</x:t>
        </x:is>
      </x:c>
      <x:c r="Q83" s="2" t="inlineStr">
        <x:is>
          <x:t xml:space="preserve">Alvaro Palacios</x:t>
        </x:is>
      </x:c>
      <x:c r="R83" s="3" t="n">
        <x:v>1</x:v>
      </x:c>
      <x:c r="S83" s="3" t="n">
        <x:v>480</x:v>
      </x:c>
      <x:c r="T83" s="3" t="n">
        <x:v>0</x:v>
      </x:c>
      <x:c r="U83" s="5" t="n">
        <x:v>0</x:v>
      </x:c>
      <x:c r="V83" s="5" t="n">
        <x:v>0</x:v>
      </x:c>
      <x:c r="W83" s="3" t="n">
        <x:f>FALSE()</x:f>
        <x:v>0</x:v>
      </x:c>
    </x:row>
    <x:row r="84">
      <x:c r="A84" s="2" t="inlineStr">
        <x:is>
          <x:t xml:space="preserve">Last month</x:t>
        </x:is>
      </x:c>
      <x:c r="B84" s="2" t="inlineStr">
        <x:is>
          <x:t xml:space="preserve">01.10.25 00:00..31.10.25 23:59</x:t>
        </x:is>
      </x:c>
      <x:c r="C84" s="2" t="inlineStr">
        <x:is>
          <x:t xml:space="preserve">Campaign Sales Statistics is being updated.</x:t>
        </x:is>
      </x:c>
      <x:c r="D84" s="2" t="inlineStr">
        <x:is>
          <x:t xml:space="preserve">Campaign Sales Statistics updated at: 03.11.25 15:31</x:t>
        </x:is>
      </x:c>
      <x:c r="E84" s="2" t="inlineStr">
        <x:is>
          <x:t xml:space="preserve">CM-25-02750</x:t>
        </x:is>
      </x:c>
      <x:c r="F84" s="2" t="inlineStr">
        <x:is>
          <x:t xml:space="preserve">Pavie Macquin 2020-(1/1)-bdx&gt;50</x:t>
        </x:is>
      </x:c>
      <x:c r="G84" s="2" t="inlineStr">
        <x:is>
          <x:t xml:space="preserve">PRIVATE</x:t>
        </x:is>
      </x:c>
      <x:c r="H84" s="2" t="inlineStr">
        <x:is>
          <x:t xml:space="preserve">Normal</x:t>
        </x:is>
      </x:c>
      <x:c r="I84" s="3" t="n">
        <x:f>FALSE()</x:f>
        <x:v>0</x:v>
      </x:c>
      <x:c r="J84" s="4" t="n">
        <x:v>45941.45972222222</x:v>
      </x:c>
      <x:c r="K84" s="3" t="n">
        <x:v>1</x:v>
      </x:c>
      <x:c r="L84" s="2" t="inlineStr">
        <x:is>
          <x:t xml:space="preserve">1721</x:t>
        </x:is>
      </x:c>
      <x:c r="M84" s="2" t="inlineStr">
        <x:is>
          <x:t xml:space="preserve">Pavie Macquin</x:t>
        </x:is>
      </x:c>
      <x:c r="N84" s="2" t="inlineStr">
        <x:is>
          <x:t xml:space="preserve">53983</x:t>
        </x:is>
      </x:c>
      <x:c r="O84" s="5" t="n">
        <x:v>85</x:v>
      </x:c>
      <x:c r="P84" s="2" t="inlineStr">
        <x:is>
          <x:t xml:space="preserve">2020</x:t>
        </x:is>
      </x:c>
      <x:c r="Q84" s="2" t="inlineStr">
        <x:is>
          <x:t xml:space="preserve">Château Pavie Macquin</x:t>
        </x:is>
      </x:c>
      <x:c r="R84" s="3" t="n">
        <x:v>1</x:v>
      </x:c>
      <x:c r="S84" s="3" t="n">
        <x:v>1265</x:v>
      </x:c>
      <x:c r="T84" s="3" t="n">
        <x:v>41</x:v>
      </x:c>
      <x:c r="U84" s="5" t="n">
        <x:v>3.24</x:v>
      </x:c>
      <x:c r="V84" s="5" t="n">
        <x:v>40473.102006480088</x:v>
      </x:c>
      <x:c r="W84" s="3" t="n">
        <x:f>FALSE()</x:f>
        <x:v>0</x:v>
      </x:c>
    </x:row>
    <x:row r="85">
      <x:c r="A85" s="2" t="inlineStr">
        <x:is>
          <x:t xml:space="preserve">Last month</x:t>
        </x:is>
      </x:c>
      <x:c r="B85" s="2" t="inlineStr">
        <x:is>
          <x:t xml:space="preserve">01.10.25 00:00..31.10.25 23:59</x:t>
        </x:is>
      </x:c>
      <x:c r="C85" s="2" t="inlineStr">
        <x:is>
          <x:t xml:space="preserve">Campaign Sales Statistics is being updated.</x:t>
        </x:is>
      </x:c>
      <x:c r="D85" s="2" t="inlineStr">
        <x:is>
          <x:t xml:space="preserve">Campaign Sales Statistics updated at: 03.11.25 15:31</x:t>
        </x:is>
      </x:c>
      <x:c r="E85" s="2" t="inlineStr">
        <x:is>
          <x:t xml:space="preserve">CM-25-02758</x:t>
        </x:is>
      </x:c>
      <x:c r="F85" s="2" t="inlineStr">
        <x:is>
          <x:t xml:space="preserve">LEADS: HORECA: Mission Haut Brion-INActive</x:t>
        </x:is>
      </x:c>
      <x:c r="G85" s="2" t="inlineStr">
        <x:is>
          <x:t xml:space="preserve">HORECA</x:t>
        </x:is>
      </x:c>
      <x:c r="H85" s="2" t="inlineStr">
        <x:is>
          <x:t xml:space="preserve">Lead</x:t>
        </x:is>
      </x:c>
      <x:c r="I85" s="3" t="n">
        <x:f>FALSE()</x:f>
        <x:v>0</x:v>
      </x:c>
      <x:c r="J85" s="4" t="n">
        <x:v>45941.41875</x:v>
      </x:c>
      <x:c r="K85" s="3" t="n">
        <x:v>1</x:v>
      </x:c>
      <x:c r="L85" s="2" t="inlineStr">
        <x:is>
          <x:t xml:space="preserve">1549</x:t>
        </x:is>
      </x:c>
      <x:c r="M85" s="2" t="inlineStr">
        <x:is>
          <x:t xml:space="preserve">La Mission Haut-Brion</x:t>
        </x:is>
      </x:c>
      <x:c r="N85" s="2" t="inlineStr">
        <x:is>
          <x:t xml:space="preserve">55704</x:t>
        </x:is>
      </x:c>
      <x:c r="O85" s="5" t="n">
        <x:v>160</x:v>
      </x:c>
      <x:c r="P85" s="2" t="inlineStr">
        <x:is>
          <x:t xml:space="preserve">2021</x:t>
        </x:is>
      </x:c>
      <x:c r="Q85" s="2" t="inlineStr">
        <x:is>
          <x:t xml:space="preserve">Château La Mission Haut Brion</x:t>
        </x:is>
      </x:c>
      <x:c r="R85" s="3" t="n">
        <x:v>1</x:v>
      </x:c>
      <x:c r="S85" s="3" t="n">
        <x:v>2090</x:v>
      </x:c>
      <x:c r="T85" s="3" t="n">
        <x:v>0</x:v>
      </x:c>
      <x:c r="U85" s="5" t="n">
        <x:v>0</x:v>
      </x:c>
      <x:c r="V85" s="5" t="n">
        <x:v>0</x:v>
      </x:c>
      <x:c r="W85" s="3" t="n">
        <x:f>FALSE()</x:f>
        <x:v>0</x:v>
      </x:c>
    </x:row>
    <x:row r="86">
      <x:c r="A86" s="2" t="inlineStr">
        <x:is>
          <x:t xml:space="preserve">Last month</x:t>
        </x:is>
      </x:c>
      <x:c r="B86" s="2" t="inlineStr">
        <x:is>
          <x:t xml:space="preserve">01.10.25 00:00..31.10.25 23:59</x:t>
        </x:is>
      </x:c>
      <x:c r="C86" s="2" t="inlineStr">
        <x:is>
          <x:t xml:space="preserve">Campaign Sales Statistics is being updated.</x:t>
        </x:is>
      </x:c>
      <x:c r="D86" s="2" t="inlineStr">
        <x:is>
          <x:t xml:space="preserve">Campaign Sales Statistics updated at: 03.11.25 15:31</x:t>
        </x:is>
      </x:c>
      <x:c r="E86" s="2" t="inlineStr">
        <x:is>
          <x:t xml:space="preserve">CM-25-02755</x:t>
        </x:is>
      </x:c>
      <x:c r="F86" s="2" t="inlineStr">
        <x:is>
          <x:t xml:space="preserve">RECALL: Marc de Bourgogne 2002-0-purch&gt;1k pbl</x:t>
        </x:is>
      </x:c>
      <x:c r="G86" s="2" t="inlineStr">
        <x:is>
          <x:t xml:space="preserve">PRIVATE</x:t>
        </x:is>
      </x:c>
      <x:c r="H86" s="2" t="inlineStr">
        <x:is>
          <x:t xml:space="preserve">Normal</x:t>
        </x:is>
      </x:c>
      <x:c r="I86" s="3" t="n">
        <x:f>FALSE()</x:f>
        <x:v>0</x:v>
      </x:c>
      <x:c r="J86" s="4" t="n">
        <x:v>45940.770833333336</x:v>
      </x:c>
      <x:c r="K86" s="3" t="n">
        <x:v>1</x:v>
      </x:c>
      <x:c r="L86" s="2" t="inlineStr">
        <x:is>
          <x:t xml:space="preserve">30444</x:t>
        </x:is>
      </x:c>
      <x:c r="M86" s="2" t="inlineStr">
        <x:is>
          <x:t xml:space="preserve">DRC Marc Bourgogne</x:t>
        </x:is>
      </x:c>
      <x:c r="N86" s="2" t="inlineStr">
        <x:is>
          <x:t xml:space="preserve">65485</x:t>
        </x:is>
      </x:c>
      <x:c r="O86" s="5" t="n">
        <x:v>3190</x:v>
      </x:c>
      <x:c r="P86" s="2" t="inlineStr">
        <x:is>
          <x:t xml:space="preserve">2002</x:t>
        </x:is>
      </x:c>
      <x:c r="Q86" s="2" t="inlineStr">
        <x:is>
          <x:t xml:space="preserve">Domaine de la Romanée Conti</x:t>
        </x:is>
      </x:c>
      <x:c r="R86" s="3" t="n">
        <x:v>1</x:v>
      </x:c>
      <x:c r="S86" s="3" t="n">
        <x:v>419</x:v>
      </x:c>
      <x:c r="T86" s="3" t="n">
        <x:v>3</x:v>
      </x:c>
      <x:c r="U86" s="5" t="n">
        <x:v>0.72</x:v>
      </x:c>
      <x:c r="V86" s="5" t="n">
        <x:v>9368.04540240518038</x:v>
      </x:c>
      <x:c r="W86" s="3" t="n">
        <x:f>FALSE()</x:f>
        <x:v>0</x:v>
      </x:c>
    </x:row>
    <x:row r="87">
      <x:c r="A87" s="2" t="inlineStr">
        <x:is>
          <x:t xml:space="preserve">Last month</x:t>
        </x:is>
      </x:c>
      <x:c r="B87" s="2" t="inlineStr">
        <x:is>
          <x:t xml:space="preserve">01.10.25 00:00..31.10.25 23:59</x:t>
        </x:is>
      </x:c>
      <x:c r="C87" s="2" t="inlineStr">
        <x:is>
          <x:t xml:space="preserve">Campaign Sales Statistics is being updated.</x:t>
        </x:is>
      </x:c>
      <x:c r="D87" s="2" t="inlineStr">
        <x:is>
          <x:t xml:space="preserve">Campaign Sales Statistics updated at: 03.11.25 15:31</x:t>
        </x:is>
      </x:c>
      <x:c r="E87" s="2" t="inlineStr">
        <x:is>
          <x:t xml:space="preserve">CM-25-02745</x:t>
        </x:is>
      </x:c>
      <x:c r="F87" s="2" t="inlineStr">
        <x:is>
          <x:t xml:space="preserve">Half bottles(1/2)-NEW</x:t>
        </x:is>
      </x:c>
      <x:c r="G87" s="2" t="inlineStr">
        <x:is>
          <x:t xml:space="preserve">PRIVATE</x:t>
        </x:is>
      </x:c>
      <x:c r="H87" s="2" t="inlineStr">
        <x:is>
          <x:t xml:space="preserve">Normal</x:t>
        </x:is>
      </x:c>
      <x:c r="I87" s="3" t="n">
        <x:f>TRUE()</x:f>
        <x:v>1</x:v>
      </x:c>
      <x:c r="J87" s="4" t="n">
        <x:v>45940.625</x:v>
      </x:c>
      <x:c r="K87" s="3" t="n">
        <x:v>2</x:v>
      </x:c>
      <x:c r="L87" s="2" t="inlineStr">
        <x:is>
          <x:t xml:space="preserve"/>
        </x:is>
      </x:c>
      <x:c r="M87" s="2" t="inlineStr">
        <x:is>
          <x:t xml:space="preserve"/>
        </x:is>
      </x:c>
      <x:c r="N87" s="2" t="inlineStr">
        <x:is>
          <x:t xml:space="preserve"/>
        </x:is>
      </x:c>
      <x:c r="O87" s="5" t="n">
        <x:v>0</x:v>
      </x:c>
      <x:c r="P87" s="2" t="inlineStr">
        <x:is>
          <x:t xml:space="preserve"/>
        </x:is>
      </x:c>
      <x:c r="Q87" s="2" t="inlineStr">
        <x:is>
          <x:t xml:space="preserve"/>
        </x:is>
      </x:c>
      <x:c r="R87" s="3" t="n">
        <x:v>0</x:v>
      </x:c>
      <x:c r="S87" s="3" t="n">
        <x:v>1637</x:v>
      </x:c>
      <x:c r="T87" s="3" t="n">
        <x:v>0</x:v>
      </x:c>
      <x:c r="U87" s="5" t="n">
        <x:v>0</x:v>
      </x:c>
      <x:c r="V87" s="5" t="n">
        <x:v>0</x:v>
      </x:c>
      <x:c r="W87" s="3" t="n">
        <x:f>FALSE()</x:f>
        <x:v>0</x:v>
      </x:c>
    </x:row>
    <x:row r="88">
      <x:c r="A88" s="2" t="inlineStr">
        <x:is>
          <x:t xml:space="preserve">Last month</x:t>
        </x:is>
      </x:c>
      <x:c r="B88" s="2" t="inlineStr">
        <x:is>
          <x:t xml:space="preserve">01.10.25 00:00..31.10.25 23:59</x:t>
        </x:is>
      </x:c>
      <x:c r="C88" s="2" t="inlineStr">
        <x:is>
          <x:t xml:space="preserve">Campaign Sales Statistics is being updated.</x:t>
        </x:is>
      </x:c>
      <x:c r="D88" s="2" t="inlineStr">
        <x:is>
          <x:t xml:space="preserve">Campaign Sales Statistics updated at: 03.11.25 15:31</x:t>
        </x:is>
      </x:c>
      <x:c r="E88" s="2" t="inlineStr">
        <x:is>
          <x:t xml:space="preserve">CM-25-02729</x:t>
        </x:is>
      </x:c>
      <x:c r="F88" s="2" t="inlineStr">
        <x:is>
          <x:t xml:space="preserve">Palmer Historical XIX-NV</x:t>
        </x:is>
      </x:c>
      <x:c r="G88" s="2" t="inlineStr">
        <x:is>
          <x:t xml:space="preserve">PRIVATE</x:t>
        </x:is>
      </x:c>
      <x:c r="H88" s="2" t="inlineStr">
        <x:is>
          <x:t xml:space="preserve">Normal</x:t>
        </x:is>
      </x:c>
      <x:c r="I88" s="3" t="n">
        <x:f>FALSE()</x:f>
        <x:v>0</x:v>
      </x:c>
      <x:c r="J88" s="4" t="n">
        <x:v>45940.604166666664</x:v>
      </x:c>
      <x:c r="K88" s="3" t="n">
        <x:v>1</x:v>
      </x:c>
      <x:c r="L88" s="2" t="inlineStr">
        <x:is>
          <x:t xml:space="preserve">10839</x:t>
        </x:is>
      </x:c>
      <x:c r="M88" s="2" t="inlineStr">
        <x:is>
          <x:t xml:space="preserve">Palmer Historical XIX L. 20.21</x:t>
        </x:is>
      </x:c>
      <x:c r="N88" s="2" t="inlineStr">
        <x:is>
          <x:t xml:space="preserve">60084</x:t>
        </x:is>
      </x:c>
      <x:c r="O88" s="5" t="n">
        <x:v>245</x:v>
      </x:c>
      <x:c r="P88" s="2" t="inlineStr">
        <x:is>
          <x:t xml:space="preserve">NV</x:t>
        </x:is>
      </x:c>
      <x:c r="Q88" s="2" t="inlineStr">
        <x:is>
          <x:t xml:space="preserve">Château Palmer</x:t>
        </x:is>
      </x:c>
      <x:c r="R88" s="3" t="n">
        <x:v>1</x:v>
      </x:c>
      <x:c r="S88" s="3" t="n">
        <x:v>428</x:v>
      </x:c>
      <x:c r="T88" s="3" t="n">
        <x:v>13</x:v>
      </x:c>
      <x:c r="U88" s="5" t="n">
        <x:v>3.04</x:v>
      </x:c>
      <x:c r="V88" s="5" t="n">
        <x:v>16731.6736803033859</x:v>
      </x:c>
      <x:c r="W88" s="3" t="n">
        <x:f>FALSE()</x:f>
        <x:v>0</x:v>
      </x:c>
    </x:row>
    <x:row r="89">
      <x:c r="A89" s="2" t="inlineStr">
        <x:is>
          <x:t xml:space="preserve">Last month</x:t>
        </x:is>
      </x:c>
      <x:c r="B89" s="2" t="inlineStr">
        <x:is>
          <x:t xml:space="preserve">01.10.25 00:00..31.10.25 23:59</x:t>
        </x:is>
      </x:c>
      <x:c r="C89" s="2" t="inlineStr">
        <x:is>
          <x:t xml:space="preserve">Campaign Sales Statistics is being updated.</x:t>
        </x:is>
      </x:c>
      <x:c r="D89" s="2" t="inlineStr">
        <x:is>
          <x:t xml:space="preserve">Campaign Sales Statistics updated at: 03.11.25 15:31</x:t>
        </x:is>
      </x:c>
      <x:c r="E89" s="2" t="inlineStr">
        <x:is>
          <x:t xml:space="preserve">CM-25-02744</x:t>
        </x:is>
      </x:c>
      <x:c r="F89" s="2" t="inlineStr">
        <x:is>
          <x:t xml:space="preserve">Guidalberto 2023-(1/1)-bht&lt;50</x:t>
        </x:is>
      </x:c>
      <x:c r="G89" s="2" t="inlineStr">
        <x:is>
          <x:t xml:space="preserve">PRIVATE</x:t>
        </x:is>
      </x:c>
      <x:c r="H89" s="2" t="inlineStr">
        <x:is>
          <x:t xml:space="preserve">Normal</x:t>
        </x:is>
      </x:c>
      <x:c r="I89" s="3" t="n">
        <x:f>FALSE()</x:f>
        <x:v>0</x:v>
      </x:c>
      <x:c r="J89" s="4" t="n">
        <x:v>45940.58472222222</x:v>
      </x:c>
      <x:c r="K89" s="3" t="n">
        <x:v>1</x:v>
      </x:c>
      <x:c r="L89" s="2" t="inlineStr">
        <x:is>
          <x:t xml:space="preserve">2583</x:t>
        </x:is>
      </x:c>
      <x:c r="M89" s="2" t="inlineStr">
        <x:is>
          <x:t xml:space="preserve">Guidalberto (2nd Vin)</x:t>
        </x:is>
      </x:c>
      <x:c r="N89" s="2" t="inlineStr">
        <x:is>
          <x:t xml:space="preserve">62855</x:t>
        </x:is>
      </x:c>
      <x:c r="O89" s="5" t="n">
        <x:v>32</x:v>
      </x:c>
      <x:c r="P89" s="2" t="inlineStr">
        <x:is>
          <x:t xml:space="preserve">2023</x:t>
        </x:is>
      </x:c>
      <x:c r="Q89" s="2" t="inlineStr">
        <x:is>
          <x:t xml:space="preserve">Tenuta San Guido</x:t>
        </x:is>
      </x:c>
      <x:c r="R89" s="3" t="n">
        <x:v>1</x:v>
      </x:c>
      <x:c r="S89" s="3" t="n">
        <x:v>1973</x:v>
      </x:c>
      <x:c r="T89" s="3" t="n">
        <x:v>47</x:v>
      </x:c>
      <x:c r="U89" s="5" t="n">
        <x:v>2.38</x:v>
      </x:c>
      <x:c r="V89" s="5" t="n">
        <x:v>19035.707938383936</x:v>
      </x:c>
      <x:c r="W89" s="3" t="n">
        <x:f>FALSE()</x:f>
        <x:v>0</x:v>
      </x:c>
    </x:row>
    <x:row r="90">
      <x:c r="A90" s="2" t="inlineStr">
        <x:is>
          <x:t xml:space="preserve">Last month</x:t>
        </x:is>
      </x:c>
      <x:c r="B90" s="2" t="inlineStr">
        <x:is>
          <x:t xml:space="preserve">01.10.25 00:00..31.10.25 23:59</x:t>
        </x:is>
      </x:c>
      <x:c r="C90" s="2" t="inlineStr">
        <x:is>
          <x:t xml:space="preserve">Campaign Sales Statistics is being updated.</x:t>
        </x:is>
      </x:c>
      <x:c r="D90" s="2" t="inlineStr">
        <x:is>
          <x:t xml:space="preserve">Campaign Sales Statistics updated at: 03.11.25 15:31</x:t>
        </x:is>
      </x:c>
      <x:c r="E90" s="2" t="inlineStr">
        <x:is>
          <x:t xml:space="preserve">CM-25-02743</x:t>
        </x:is>
      </x:c>
      <x:c r="F90" s="2" t="inlineStr">
        <x:is>
          <x:t xml:space="preserve">Quintus 2020-(1/1)-bght BDX never Quintus </x:t>
        </x:is>
      </x:c>
      <x:c r="G90" s="2" t="inlineStr">
        <x:is>
          <x:t xml:space="preserve">PRIVATE</x:t>
        </x:is>
      </x:c>
      <x:c r="H90" s="2" t="inlineStr">
        <x:is>
          <x:t xml:space="preserve">Normal</x:t>
        </x:is>
      </x:c>
      <x:c r="I90" s="3" t="n">
        <x:f>FALSE()</x:f>
        <x:v>0</x:v>
      </x:c>
      <x:c r="J90" s="4" t="n">
        <x:v>45940.459027777775</x:v>
      </x:c>
      <x:c r="K90" s="3" t="n">
        <x:v>1</x:v>
      </x:c>
      <x:c r="L90" s="2" t="inlineStr">
        <x:is>
          <x:t xml:space="preserve">32065</x:t>
        </x:is>
      </x:c>
      <x:c r="M90" s="2" t="inlineStr">
        <x:is>
          <x:t xml:space="preserve">Quintus</x:t>
        </x:is>
      </x:c>
      <x:c r="N90" s="2" t="inlineStr">
        <x:is>
          <x:t xml:space="preserve">65331</x:t>
        </x:is>
      </x:c>
      <x:c r="O90" s="5" t="n">
        <x:v>55</x:v>
      </x:c>
      <x:c r="P90" s="2" t="inlineStr">
        <x:is>
          <x:t xml:space="preserve">2020</x:t>
        </x:is>
      </x:c>
      <x:c r="Q90" s="2" t="inlineStr">
        <x:is>
          <x:t xml:space="preserve">Château Quintus</x:t>
        </x:is>
      </x:c>
      <x:c r="R90" s="3" t="n">
        <x:v>1</x:v>
      </x:c>
      <x:c r="S90" s="3" t="n">
        <x:v>2168</x:v>
      </x:c>
      <x:c r="T90" s="3" t="n">
        <x:v>44</x:v>
      </x:c>
      <x:c r="U90" s="5" t="n">
        <x:v>2.03</x:v>
      </x:c>
      <x:c r="V90" s="5" t="n">
        <x:v>26262.9972247918594</x:v>
      </x:c>
      <x:c r="W90" s="3" t="n">
        <x:f>FALSE()</x:f>
        <x:v>0</x:v>
      </x:c>
    </x:row>
    <x:row r="91">
      <x:c r="A91" s="2" t="inlineStr">
        <x:is>
          <x:t xml:space="preserve">Last month</x:t>
        </x:is>
      </x:c>
      <x:c r="B91" s="2" t="inlineStr">
        <x:is>
          <x:t xml:space="preserve">01.10.25 00:00..31.10.25 23:59</x:t>
        </x:is>
      </x:c>
      <x:c r="C91" s="2" t="inlineStr">
        <x:is>
          <x:t xml:space="preserve">Campaign Sales Statistics is being updated.</x:t>
        </x:is>
      </x:c>
      <x:c r="D91" s="2" t="inlineStr">
        <x:is>
          <x:t xml:space="preserve">Campaign Sales Statistics updated at: 03.11.25 15:31</x:t>
        </x:is>
      </x:c>
      <x:c r="E91" s="2" t="inlineStr">
        <x:is>
          <x:t xml:space="preserve">CM-25-02739</x:t>
        </x:is>
      </x:c>
      <x:c r="F91" s="2" t="inlineStr">
        <x:is>
          <x:t xml:space="preserve">Larrivet Haut Brion 2018-(1/1)-BDX_AVG&lt;100</x:t>
        </x:is>
      </x:c>
      <x:c r="G91" s="2" t="inlineStr">
        <x:is>
          <x:t xml:space="preserve">PRIVATE</x:t>
        </x:is>
      </x:c>
      <x:c r="H91" s="2" t="inlineStr">
        <x:is>
          <x:t xml:space="preserve">Normal</x:t>
        </x:is>
      </x:c>
      <x:c r="I91" s="3" t="n">
        <x:f>FALSE()</x:f>
        <x:v>0</x:v>
      </x:c>
      <x:c r="J91" s="4" t="n">
        <x:v>45939.677083333336</x:v>
      </x:c>
      <x:c r="K91" s="3" t="n">
        <x:v>1</x:v>
      </x:c>
      <x:c r="L91" s="2" t="inlineStr">
        <x:is>
          <x:t xml:space="preserve">1601</x:t>
        </x:is>
      </x:c>
      <x:c r="M91" s="2" t="inlineStr">
        <x:is>
          <x:t xml:space="preserve">Larrivet Haut Brion Rouge</x:t>
        </x:is>
      </x:c>
      <x:c r="N91" s="2" t="inlineStr">
        <x:is>
          <x:t xml:space="preserve">65368</x:t>
        </x:is>
      </x:c>
      <x:c r="O91" s="5" t="n">
        <x:v>27</x:v>
      </x:c>
      <x:c r="P91" s="2" t="inlineStr">
        <x:is>
          <x:t xml:space="preserve">2018</x:t>
        </x:is>
      </x:c>
      <x:c r="Q91" s="2" t="inlineStr">
        <x:is>
          <x:t xml:space="preserve">Château Larrivet Haut-Brion</x:t>
        </x:is>
      </x:c>
      <x:c r="R91" s="3" t="n">
        <x:v>1</x:v>
      </x:c>
      <x:c r="S91" s="3" t="n">
        <x:v>1153</x:v>
      </x:c>
      <x:c r="T91" s="3" t="n">
        <x:v>30</x:v>
      </x:c>
      <x:c r="U91" s="5" t="n">
        <x:v>2.6</x:v>
      </x:c>
      <x:c r="V91" s="5" t="n">
        <x:v>9277.53260892576894</x:v>
      </x:c>
      <x:c r="W91" s="3" t="n">
        <x:f>FALSE()</x:f>
        <x:v>0</x:v>
      </x:c>
    </x:row>
    <x:row r="92">
      <x:c r="A92" s="2" t="inlineStr">
        <x:is>
          <x:t xml:space="preserve">Last month</x:t>
        </x:is>
      </x:c>
      <x:c r="B92" s="2" t="inlineStr">
        <x:is>
          <x:t xml:space="preserve">01.10.25 00:00..31.10.25 23:59</x:t>
        </x:is>
      </x:c>
      <x:c r="C92" s="2" t="inlineStr">
        <x:is>
          <x:t xml:space="preserve">Campaign Sales Statistics is being updated.</x:t>
        </x:is>
      </x:c>
      <x:c r="D92" s="2" t="inlineStr">
        <x:is>
          <x:t xml:space="preserve">Campaign Sales Statistics updated at: 03.11.25 15:31</x:t>
        </x:is>
      </x:c>
      <x:c r="E92" s="2" t="inlineStr">
        <x:is>
          <x:t xml:space="preserve">CM-25-02734</x:t>
        </x:is>
      </x:c>
      <x:c r="F92" s="2" t="inlineStr">
        <x:is>
          <x:t xml:space="preserve">La Mission Haut Brion-(1/1)-all -never spent&gt;50</x:t>
        </x:is>
      </x:c>
      <x:c r="G92" s="2" t="inlineStr">
        <x:is>
          <x:t xml:space="preserve">PRIVATE</x:t>
        </x:is>
      </x:c>
      <x:c r="H92" s="2" t="inlineStr">
        <x:is>
          <x:t xml:space="preserve">Normal</x:t>
        </x:is>
      </x:c>
      <x:c r="I92" s="3" t="n">
        <x:f>FALSE()</x:f>
        <x:v>0</x:v>
      </x:c>
      <x:c r="J92" s="4" t="n">
        <x:v>45939.62569444445</x:v>
      </x:c>
      <x:c r="K92" s="3" t="n">
        <x:v>2</x:v>
      </x:c>
      <x:c r="L92" s="2" t="inlineStr">
        <x:is>
          <x:t xml:space="preserve">1549</x:t>
        </x:is>
      </x:c>
      <x:c r="M92" s="2" t="inlineStr">
        <x:is>
          <x:t xml:space="preserve">La Mission Haut-Brion</x:t>
        </x:is>
      </x:c>
      <x:c r="N92" s="2" t="inlineStr">
        <x:is>
          <x:t xml:space="preserve">55704</x:t>
        </x:is>
      </x:c>
      <x:c r="O92" s="5" t="n">
        <x:v>160</x:v>
      </x:c>
      <x:c r="P92" s="2" t="inlineStr">
        <x:is>
          <x:t xml:space="preserve">2021</x:t>
        </x:is>
      </x:c>
      <x:c r="Q92" s="2" t="inlineStr">
        <x:is>
          <x:t xml:space="preserve">Château La Mission Haut Brion</x:t>
        </x:is>
      </x:c>
      <x:c r="R92" s="3" t="n">
        <x:v>1</x:v>
      </x:c>
      <x:c r="S92" s="3" t="n">
        <x:v>3031</x:v>
      </x:c>
      <x:c r="T92" s="3" t="n">
        <x:v>131</x:v>
      </x:c>
      <x:c r="U92" s="5" t="n">
        <x:v>4.32</x:v>
      </x:c>
      <x:c r="V92" s="5" t="n">
        <x:v>207774.614402409783</x:v>
      </x:c>
      <x:c r="W92" s="3" t="n">
        <x:f>FALSE()</x:f>
        <x:v>0</x:v>
      </x:c>
    </x:row>
    <x:row r="93">
      <x:c r="A93" s="2" t="inlineStr">
        <x:is>
          <x:t xml:space="preserve">Last month</x:t>
        </x:is>
      </x:c>
      <x:c r="B93" s="2" t="inlineStr">
        <x:is>
          <x:t xml:space="preserve">01.10.25 00:00..31.10.25 23:59</x:t>
        </x:is>
      </x:c>
      <x:c r="C93" s="2" t="inlineStr">
        <x:is>
          <x:t xml:space="preserve">Campaign Sales Statistics is being updated.</x:t>
        </x:is>
      </x:c>
      <x:c r="D93" s="2" t="inlineStr">
        <x:is>
          <x:t xml:space="preserve">Campaign Sales Statistics updated at: 03.11.25 15:31</x:t>
        </x:is>
      </x:c>
      <x:c r="E93" s="2" t="inlineStr">
        <x:is>
          <x:t xml:space="preserve">CM-25-02713</x:t>
        </x:is>
      </x:c>
      <x:c r="F93" s="2" t="inlineStr">
        <x:is>
          <x:t xml:space="preserve">Siepi 2019 Half Bottles-(1/1)-bght 1/2 red</x:t>
        </x:is>
      </x:c>
      <x:c r="G93" s="2" t="inlineStr">
        <x:is>
          <x:t xml:space="preserve">PRIVATE</x:t>
        </x:is>
      </x:c>
      <x:c r="H93" s="2" t="inlineStr">
        <x:is>
          <x:t xml:space="preserve">Normal</x:t>
        </x:is>
      </x:c>
      <x:c r="I93" s="3" t="n">
        <x:f>FALSE()</x:f>
        <x:v>0</x:v>
      </x:c>
      <x:c r="J93" s="4" t="n">
        <x:v>45939.48611111111</x:v>
      </x:c>
      <x:c r="K93" s="3" t="n">
        <x:v>1</x:v>
      </x:c>
      <x:c r="L93" s="2" t="inlineStr">
        <x:is>
          <x:t xml:space="preserve">32259</x:t>
        </x:is>
      </x:c>
      <x:c r="M93" s="2" t="inlineStr">
        <x:is>
          <x:t xml:space="preserve">Siepi</x:t>
        </x:is>
      </x:c>
      <x:c r="N93" s="2" t="inlineStr">
        <x:is>
          <x:t xml:space="preserve">54636</x:t>
        </x:is>
      </x:c>
      <x:c r="O93" s="5" t="n">
        <x:v>42</x:v>
      </x:c>
      <x:c r="P93" s="2" t="inlineStr">
        <x:is>
          <x:t xml:space="preserve">2019</x:t>
        </x:is>
      </x:c>
      <x:c r="Q93" s="2" t="inlineStr">
        <x:is>
          <x:t xml:space="preserve">Marchesi Mazzei Castello di Fonterutoli</x:t>
        </x:is>
      </x:c>
      <x:c r="R93" s="3" t="n">
        <x:v>1</x:v>
      </x:c>
      <x:c r="S93" s="3" t="n">
        <x:v>265</x:v>
      </x:c>
      <x:c r="T93" s="3" t="n">
        <x:v>12</x:v>
      </x:c>
      <x:c r="U93" s="5" t="n">
        <x:v>4.53</x:v>
      </x:c>
      <x:c r="V93" s="5" t="n">
        <x:v>7545.30681048964245</x:v>
      </x:c>
      <x:c r="W93" s="3" t="n">
        <x:f>FALSE()</x:f>
        <x:v>0</x:v>
      </x:c>
    </x:row>
    <x:row r="94">
      <x:c r="A94" s="2" t="inlineStr">
        <x:is>
          <x:t xml:space="preserve">Last month</x:t>
        </x:is>
      </x:c>
      <x:c r="B94" s="2" t="inlineStr">
        <x:is>
          <x:t xml:space="preserve">01.10.25 00:00..31.10.25 23:59</x:t>
        </x:is>
      </x:c>
      <x:c r="C94" s="2" t="inlineStr">
        <x:is>
          <x:t xml:space="preserve">Campaign Sales Statistics is being updated.</x:t>
        </x:is>
      </x:c>
      <x:c r="D94" s="2" t="inlineStr">
        <x:is>
          <x:t xml:space="preserve">Campaign Sales Statistics updated at: 03.11.25 15:31</x:t>
        </x:is>
      </x:c>
      <x:c r="E94" s="2" t="inlineStr">
        <x:is>
          <x:t xml:space="preserve">CM-25-02730</x:t>
        </x:is>
      </x:c>
      <x:c r="F94" s="2" t="inlineStr">
        <x:is>
          <x:t xml:space="preserve">LEADS: Degu Box 2020-CH only</x:t>
        </x:is>
      </x:c>
      <x:c r="G94" s="2" t="inlineStr">
        <x:is>
          <x:t xml:space="preserve">PRIVATE</x:t>
        </x:is>
      </x:c>
      <x:c r="H94" s="2" t="inlineStr">
        <x:is>
          <x:t xml:space="preserve">Lead</x:t>
        </x:is>
      </x:c>
      <x:c r="I94" s="3" t="n">
        <x:f>TRUE()</x:f>
        <x:v>1</x:v>
      </x:c>
      <x:c r="J94" s="4" t="n">
        <x:v>45939.447916666664</x:v>
      </x:c>
      <x:c r="K94" s="3" t="n">
        <x:v>1</x:v>
      </x:c>
      <x:c r="L94" s="2" t="inlineStr">
        <x:is>
          <x:t xml:space="preserve">44045</x:t>
        </x:is>
      </x:c>
      <x:c r="M94" s="2" t="inlineStr">
        <x:is>
          <x:t xml:space="preserve">Assortment 14 Cru Bourgeois Exceptionnel (14x75cl)</x:t>
        </x:is>
      </x:c>
      <x:c r="N94" s="2" t="inlineStr">
        <x:is>
          <x:t xml:space="preserve">62886</x:t>
        </x:is>
      </x:c>
      <x:c r="O94" s="5" t="n">
        <x:v>350</x:v>
      </x:c>
      <x:c r="P94" s="2" t="inlineStr">
        <x:is>
          <x:t xml:space="preserve">2020</x:t>
        </x:is>
      </x:c>
      <x:c r="Q94" s="2" t="inlineStr">
        <x:is>
          <x:t xml:space="preserve">Assortment Bordeaux</x:t>
        </x:is>
      </x:c>
      <x:c r="R94" s="3" t="n">
        <x:v>1</x:v>
      </x:c>
      <x:c r="S94" s="3" t="n">
        <x:v>6570</x:v>
      </x:c>
      <x:c r="T94" s="3" t="n">
        <x:v>10</x:v>
      </x:c>
      <x:c r="U94" s="5" t="n">
        <x:v>0.15</x:v>
      </x:c>
      <x:c r="V94" s="5" t="n">
        <x:v>7701.22725871107</x:v>
      </x:c>
      <x:c r="W94" s="3" t="n">
        <x:f>FALSE()</x:f>
        <x:v>0</x:v>
      </x:c>
    </x:row>
    <x:row r="95">
      <x:c r="A95" s="2" t="inlineStr">
        <x:is>
          <x:t xml:space="preserve">Last month</x:t>
        </x:is>
      </x:c>
      <x:c r="B95" s="2" t="inlineStr">
        <x:is>
          <x:t xml:space="preserve">01.10.25 00:00..31.10.25 23:59</x:t>
        </x:is>
      </x:c>
      <x:c r="C95" s="2" t="inlineStr">
        <x:is>
          <x:t xml:space="preserve">Campaign Sales Statistics is being updated.</x:t>
        </x:is>
      </x:c>
      <x:c r="D95" s="2" t="inlineStr">
        <x:is>
          <x:t xml:space="preserve">Campaign Sales Statistics updated at: 03.11.25 15:31</x:t>
        </x:is>
      </x:c>
      <x:c r="E95" s="2" t="inlineStr">
        <x:is>
          <x:t xml:space="preserve">CM-25-02708</x:t>
        </x:is>
      </x:c>
      <x:c r="F95" s="2" t="inlineStr">
        <x:is>
          <x:t xml:space="preserve">Las Cases 1982-(1/2)- attended EV0027</x:t>
        </x:is>
      </x:c>
      <x:c r="G95" s="2" t="inlineStr">
        <x:is>
          <x:t xml:space="preserve">PRIVATE</x:t>
        </x:is>
      </x:c>
      <x:c r="H95" s="2" t="inlineStr">
        <x:is>
          <x:t xml:space="preserve">Normal</x:t>
        </x:is>
      </x:c>
      <x:c r="I95" s="3" t="n">
        <x:f>FALSE()</x:f>
        <x:v>0</x:v>
      </x:c>
      <x:c r="J95" s="4" t="n">
        <x:v>45938.708333333336</x:v>
      </x:c>
      <x:c r="K95" s="3" t="n">
        <x:v>5</x:v>
      </x:c>
      <x:c r="L95" s="2" t="inlineStr">
        <x:is>
          <x:t xml:space="preserve">11236</x:t>
        </x:is>
      </x:c>
      <x:c r="M95" s="2" t="inlineStr">
        <x:is>
          <x:t xml:space="preserve">Assortment Léoville Las Cases Grape Varieties 6x75cl (2x LLC, 1x Cabernet Sauvignon, 1x Merlot, 1x Cabernet Franc, 1x Petit Verdot)</x:t>
        </x:is>
      </x:c>
      <x:c r="N95" s="2" t="inlineStr">
        <x:is>
          <x:t xml:space="preserve">65748</x:t>
        </x:is>
      </x:c>
      <x:c r="O95" s="5" t="n">
        <x:v>4650</x:v>
      </x:c>
      <x:c r="P95" s="2" t="inlineStr">
        <x:is>
          <x:t xml:space="preserve">1982</x:t>
        </x:is>
      </x:c>
      <x:c r="Q95" s="2" t="inlineStr">
        <x:is>
          <x:t xml:space="preserve">Château Léoville Las Cases</x:t>
        </x:is>
      </x:c>
      <x:c r="R95" s="3" t="n">
        <x:v>1</x:v>
      </x:c>
      <x:c r="S95" s="3" t="n">
        <x:v>1204</x:v>
      </x:c>
      <x:c r="T95" s="3" t="n">
        <x:v>12</x:v>
      </x:c>
      <x:c r="U95" s="5" t="n">
        <x:v>1</x:v>
      </x:c>
      <x:c r="V95" s="5" t="n">
        <x:v>88209.423783533765</x:v>
      </x:c>
      <x:c r="W95" s="3" t="n">
        <x:f>FALSE()</x:f>
        <x:v>0</x:v>
      </x:c>
    </x:row>
    <x:row r="96">
      <x:c r="A96" s="2" t="inlineStr">
        <x:is>
          <x:t xml:space="preserve">Last month</x:t>
        </x:is>
      </x:c>
      <x:c r="B96" s="2" t="inlineStr">
        <x:is>
          <x:t xml:space="preserve">01.10.25 00:00..31.10.25 23:59</x:t>
        </x:is>
      </x:c>
      <x:c r="C96" s="2" t="inlineStr">
        <x:is>
          <x:t xml:space="preserve">Campaign Sales Statistics is being updated.</x:t>
        </x:is>
      </x:c>
      <x:c r="D96" s="2" t="inlineStr">
        <x:is>
          <x:t xml:space="preserve">Campaign Sales Statistics updated at: 03.11.25 15:31</x:t>
        </x:is>
      </x:c>
      <x:c r="E96" s="2" t="inlineStr">
        <x:is>
          <x:t xml:space="preserve">CM-25-02716</x:t>
        </x:is>
      </x:c>
      <x:c r="F96" s="2" t="inlineStr">
        <x:is>
          <x:t xml:space="preserve">Léoville Las Cases 2010-(1/2)-bght BDX&gt; more&gt;5x</x:t>
        </x:is>
      </x:c>
      <x:c r="G96" s="2" t="inlineStr">
        <x:is>
          <x:t xml:space="preserve">PRIVATE</x:t>
        </x:is>
      </x:c>
      <x:c r="H96" s="2" t="inlineStr">
        <x:is>
          <x:t xml:space="preserve">Normal</x:t>
        </x:is>
      </x:c>
      <x:c r="I96" s="3" t="n">
        <x:f>FALSE()</x:f>
        <x:v>0</x:v>
      </x:c>
      <x:c r="J96" s="4" t="n">
        <x:v>45938.61334614583</x:v>
      </x:c>
      <x:c r="K96" s="3" t="n">
        <x:v>3</x:v>
      </x:c>
      <x:c r="L96" s="2" t="inlineStr">
        <x:is>
          <x:t xml:space="preserve">1620</x:t>
        </x:is>
      </x:c>
      <x:c r="M96" s="2" t="inlineStr">
        <x:is>
          <x:t xml:space="preserve">Léoville Las Cases</x:t>
        </x:is>
      </x:c>
      <x:c r="N96" s="2" t="inlineStr">
        <x:is>
          <x:t xml:space="preserve">2257</x:t>
        </x:is>
      </x:c>
      <x:c r="O96" s="5" t="n">
        <x:v>215</x:v>
      </x:c>
      <x:c r="P96" s="2" t="inlineStr">
        <x:is>
          <x:t xml:space="preserve">2010</x:t>
        </x:is>
      </x:c>
      <x:c r="Q96" s="2" t="inlineStr">
        <x:is>
          <x:t xml:space="preserve">Château Léoville Las Cases</x:t>
        </x:is>
      </x:c>
      <x:c r="R96" s="3" t="n">
        <x:v>1</x:v>
      </x:c>
      <x:c r="S96" s="3" t="n">
        <x:v>2252</x:v>
      </x:c>
      <x:c r="T96" s="3" t="n">
        <x:v>38</x:v>
      </x:c>
      <x:c r="U96" s="5" t="n">
        <x:v>1.69</x:v>
      </x:c>
      <x:c r="V96" s="5" t="n">
        <x:v>76823.1409212954653</x:v>
      </x:c>
      <x:c r="W96" s="3" t="n">
        <x:f>FALSE()</x:f>
        <x:v>0</x:v>
      </x:c>
    </x:row>
    <x:row r="97">
      <x:c r="A97" s="2" t="inlineStr">
        <x:is>
          <x:t xml:space="preserve">Last month</x:t>
        </x:is>
      </x:c>
      <x:c r="B97" s="2" t="inlineStr">
        <x:is>
          <x:t xml:space="preserve">01.10.25 00:00..31.10.25 23:59</x:t>
        </x:is>
      </x:c>
      <x:c r="C97" s="2" t="inlineStr">
        <x:is>
          <x:t xml:space="preserve">Campaign Sales Statistics is being updated.</x:t>
        </x:is>
      </x:c>
      <x:c r="D97" s="2" t="inlineStr">
        <x:is>
          <x:t xml:space="preserve">Campaign Sales Statistics updated at: 03.11.25 15:31</x:t>
        </x:is>
      </x:c>
      <x:c r="E97" s="2" t="inlineStr">
        <x:is>
          <x:t xml:space="preserve">CM-25-02709</x:t>
        </x:is>
      </x:c>
      <x:c r="F97" s="2" t="inlineStr">
        <x:is>
          <x:t xml:space="preserve">Saffredi 2023-(1/1)-bght Saffredi 2022</x:t>
        </x:is>
      </x:c>
      <x:c r="G97" s="2" t="inlineStr">
        <x:is>
          <x:t xml:space="preserve">PRIVATE</x:t>
        </x:is>
      </x:c>
      <x:c r="H97" s="2" t="inlineStr">
        <x:is>
          <x:t xml:space="preserve">Normal</x:t>
        </x:is>
      </x:c>
      <x:c r="I97" s="3" t="n">
        <x:f>FALSE()</x:f>
        <x:v>0</x:v>
      </x:c>
      <x:c r="J97" s="4" t="n">
        <x:v>45938.56458333333</x:v>
      </x:c>
      <x:c r="K97" s="3" t="n">
        <x:v>1</x:v>
      </x:c>
      <x:c r="L97" s="2" t="inlineStr">
        <x:is>
          <x:t xml:space="preserve">5900</x:t>
        </x:is>
      </x:c>
      <x:c r="M97" s="2" t="inlineStr">
        <x:is>
          <x:t xml:space="preserve">Saffredi</x:t>
        </x:is>
      </x:c>
      <x:c r="N97" s="2" t="inlineStr">
        <x:is>
          <x:t xml:space="preserve">65642</x:t>
        </x:is>
      </x:c>
      <x:c r="O97" s="5" t="n">
        <x:v>70</x:v>
      </x:c>
      <x:c r="P97" s="2" t="inlineStr">
        <x:is>
          <x:t xml:space="preserve">2023</x:t>
        </x:is>
      </x:c>
      <x:c r="Q97" s="2" t="inlineStr">
        <x:is>
          <x:t xml:space="preserve">Fattoria le Pupille</x:t>
        </x:is>
      </x:c>
      <x:c r="R97" s="3" t="n">
        <x:v>1</x:v>
      </x:c>
      <x:c r="S97" s="3" t="n">
        <x:v>284</x:v>
      </x:c>
      <x:c r="T97" s="3" t="n">
        <x:v>14</x:v>
      </x:c>
      <x:c r="U97" s="5" t="n">
        <x:v>4.93</x:v>
      </x:c>
      <x:c r="V97" s="5" t="n">
        <x:v>8952.74797409805736</x:v>
      </x:c>
      <x:c r="W97" s="3" t="n">
        <x:f>FALSE()</x:f>
        <x:v>0</x:v>
      </x:c>
    </x:row>
    <x:row r="98">
      <x:c r="A98" s="2" t="inlineStr">
        <x:is>
          <x:t xml:space="preserve">Last month</x:t>
        </x:is>
      </x:c>
      <x:c r="B98" s="2" t="inlineStr">
        <x:is>
          <x:t xml:space="preserve">01.10.25 00:00..31.10.25 23:59</x:t>
        </x:is>
      </x:c>
      <x:c r="C98" s="2" t="inlineStr">
        <x:is>
          <x:t xml:space="preserve">Campaign Sales Statistics is being updated.</x:t>
        </x:is>
      </x:c>
      <x:c r="D98" s="2" t="inlineStr">
        <x:is>
          <x:t xml:space="preserve">Campaign Sales Statistics updated at: 03.11.25 15:31</x:t>
        </x:is>
      </x:c>
      <x:c r="E98" s="2" t="inlineStr">
        <x:is>
          <x:t xml:space="preserve">CM-25-02704</x:t>
        </x:is>
      </x:c>
      <x:c r="F98" s="2" t="inlineStr">
        <x:is>
          <x:t xml:space="preserve">Monfortino 2004-(1/2)-bght monfortino 2010 start: 07.07.2025</x:t>
        </x:is>
      </x:c>
      <x:c r="G98" s="2" t="inlineStr">
        <x:is>
          <x:t xml:space="preserve">PRIVATE</x:t>
        </x:is>
      </x:c>
      <x:c r="H98" s="2" t="inlineStr">
        <x:is>
          <x:t xml:space="preserve">Normal</x:t>
        </x:is>
      </x:c>
      <x:c r="I98" s="3" t="n">
        <x:f>FALSE()</x:f>
        <x:v>0</x:v>
      </x:c>
      <x:c r="J98" s="4" t="n">
        <x:v>45937.74729471065</x:v>
      </x:c>
      <x:c r="K98" s="3" t="n">
        <x:v>2</x:v>
      </x:c>
      <x:c r="L98" s="2" t="inlineStr">
        <x:is>
          <x:t xml:space="preserve">2495</x:t>
        </x:is>
      </x:c>
      <x:c r="M98" s="2" t="inlineStr">
        <x:is>
          <x:t xml:space="preserve">Barolo Monfortino Riserva</x:t>
        </x:is>
      </x:c>
      <x:c r="N98" s="2" t="inlineStr">
        <x:is>
          <x:t xml:space="preserve">15971</x:t>
        </x:is>
      </x:c>
      <x:c r="O98" s="5" t="n">
        <x:v>1600</x:v>
      </x:c>
      <x:c r="P98" s="2" t="inlineStr">
        <x:is>
          <x:t xml:space="preserve">2004</x:t>
        </x:is>
      </x:c>
      <x:c r="Q98" s="2" t="inlineStr">
        <x:is>
          <x:t xml:space="preserve">Giacomo Conterno</x:t>
        </x:is>
      </x:c>
      <x:c r="R98" s="3" t="n">
        <x:v>1</x:v>
      </x:c>
      <x:c r="S98" s="3" t="n">
        <x:v>54</x:v>
      </x:c>
      <x:c r="T98" s="3" t="n">
        <x:v>0</x:v>
      </x:c>
      <x:c r="U98" s="5" t="n">
        <x:v>0</x:v>
      </x:c>
      <x:c r="V98" s="5" t="n">
        <x:v>0</x:v>
      </x:c>
      <x:c r="W98" s="3" t="n">
        <x:f>FALSE()</x:f>
        <x:v>0</x:v>
      </x:c>
    </x:row>
    <x:row r="99">
      <x:c r="A99" s="2" t="inlineStr">
        <x:is>
          <x:t xml:space="preserve">Last month</x:t>
        </x:is>
      </x:c>
      <x:c r="B99" s="2" t="inlineStr">
        <x:is>
          <x:t xml:space="preserve">01.10.25 00:00..31.10.25 23:59</x:t>
        </x:is>
      </x:c>
      <x:c r="C99" s="2" t="inlineStr">
        <x:is>
          <x:t xml:space="preserve">Campaign Sales Statistics is being updated.</x:t>
        </x:is>
      </x:c>
      <x:c r="D99" s="2" t="inlineStr">
        <x:is>
          <x:t xml:space="preserve">Campaign Sales Statistics updated at: 03.11.25 15:31</x:t>
        </x:is>
      </x:c>
      <x:c r="E99" s="2" t="inlineStr">
        <x:is>
          <x:t xml:space="preserve">CM-25-02689</x:t>
        </x:is>
      </x:c>
      <x:c r="F99" s="2" t="inlineStr">
        <x:is>
          <x:t xml:space="preserve">DD_1-La Perrière-bght BDY white </x:t>
        </x:is>
      </x:c>
      <x:c r="G99" s="2" t="inlineStr">
        <x:is>
          <x:t xml:space="preserve">PRIVATE</x:t>
        </x:is>
      </x:c>
      <x:c r="H99" s="2" t="inlineStr">
        <x:is>
          <x:t xml:space="preserve">Normal</x:t>
        </x:is>
      </x:c>
      <x:c r="I99" s="3" t="n">
        <x:f>FALSE()</x:f>
        <x:v>0</x:v>
      </x:c>
      <x:c r="J99" s="4" t="n">
        <x:v>45937.66805555556</x:v>
      </x:c>
      <x:c r="K99" s="3" t="n">
        <x:v>1</x:v>
      </x:c>
      <x:c r="L99" s="2" t="inlineStr">
        <x:is>
          <x:t xml:space="preserve">9868</x:t>
        </x:is>
      </x:c>
      <x:c r="M99" s="2" t="inlineStr">
        <x:is>
          <x:t xml:space="preserve">Nuits Saint Georges la Perrière</x:t>
        </x:is>
      </x:c>
      <x:c r="N99" s="2" t="inlineStr">
        <x:is>
          <x:t xml:space="preserve">64885</x:t>
        </x:is>
      </x:c>
      <x:c r="O99" s="5" t="n">
        <x:v>92</x:v>
      </x:c>
      <x:c r="P99" s="2" t="inlineStr">
        <x:is>
          <x:t xml:space="preserve">2021</x:t>
        </x:is>
      </x:c>
      <x:c r="Q99" s="2" t="inlineStr">
        <x:is>
          <x:t xml:space="preserve">Domaine Gouges Henri</x:t>
        </x:is>
      </x:c>
      <x:c r="R99" s="3" t="n">
        <x:v>1</x:v>
      </x:c>
      <x:c r="S99" s="3" t="n">
        <x:v>135</x:v>
      </x:c>
      <x:c r="T99" s="3" t="n">
        <x:v>5</x:v>
      </x:c>
      <x:c r="U99" s="5" t="n">
        <x:v>3.7</x:v>
      </x:c>
      <x:c r="V99" s="5" t="n">
        <x:v>2966.63449583718779</x:v>
      </x:c>
      <x:c r="W99" s="3" t="n">
        <x:f>TRUE()</x:f>
        <x:v>1</x:v>
      </x:c>
    </x:row>
    <x:row r="100">
      <x:c r="A100" s="2" t="inlineStr">
        <x:is>
          <x:t xml:space="preserve">Last month</x:t>
        </x:is>
      </x:c>
      <x:c r="B100" s="2" t="inlineStr">
        <x:is>
          <x:t xml:space="preserve">01.10.25 00:00..31.10.25 23:59</x:t>
        </x:is>
      </x:c>
      <x:c r="C100" s="2" t="inlineStr">
        <x:is>
          <x:t xml:space="preserve">Campaign Sales Statistics is being updated.</x:t>
        </x:is>
      </x:c>
      <x:c r="D100" s="2" t="inlineStr">
        <x:is>
          <x:t xml:space="preserve">Campaign Sales Statistics updated at: 03.11.25 15:31</x:t>
        </x:is>
      </x:c>
      <x:c r="E100" s="2" t="inlineStr">
        <x:is>
          <x:t xml:space="preserve">CM-25-02674</x:t>
        </x:is>
      </x:c>
      <x:c r="F100" s="2" t="inlineStr">
        <x:is>
          <x:t xml:space="preserve">LEADS: The Flight 2019-world (noEU noCH)</x:t>
        </x:is>
      </x:c>
      <x:c r="G100" s="2" t="inlineStr">
        <x:is>
          <x:t xml:space="preserve">PRIVATE</x:t>
        </x:is>
      </x:c>
      <x:c r="H100" s="2" t="inlineStr">
        <x:is>
          <x:t xml:space="preserve">Lead</x:t>
        </x:is>
      </x:c>
      <x:c r="I100" s="3" t="n">
        <x:f>FALSE()</x:f>
        <x:v>0</x:v>
      </x:c>
      <x:c r="J100" s="4" t="n">
        <x:v>45937.62708333333</x:v>
      </x:c>
      <x:c r="K100" s="3" t="n">
        <x:v>1</x:v>
      </x:c>
      <x:c r="L100" s="2" t="inlineStr">
        <x:is>
          <x:t xml:space="preserve">10847</x:t>
        </x:is>
      </x:c>
      <x:c r="M100" s="2" t="inlineStr">
        <x:is>
          <x:t xml:space="preserve">The Flight</x:t>
        </x:is>
      </x:c>
      <x:c r="N100" s="2" t="inlineStr">
        <x:is>
          <x:t xml:space="preserve">61379</x:t>
        </x:is>
      </x:c>
      <x:c r="O100" s="5" t="n">
        <x:v>965</x:v>
      </x:c>
      <x:c r="P100" s="2" t="inlineStr">
        <x:is>
          <x:t xml:space="preserve">2019</x:t>
        </x:is>
      </x:c>
      <x:c r="Q100" s="2" t="inlineStr">
        <x:is>
          <x:t xml:space="preserve">Screaming Eagle Winery</x:t>
        </x:is>
      </x:c>
      <x:c r="R100" s="3" t="n">
        <x:v>1</x:v>
      </x:c>
      <x:c r="S100" s="3" t="n">
        <x:v>13730</x:v>
      </x:c>
      <x:c r="T100" s="3" t="n">
        <x:v>2</x:v>
      </x:c>
      <x:c r="U100" s="5" t="n">
        <x:v>0.01</x:v>
      </x:c>
      <x:c r="V100" s="5" t="n">
        <x:v>25579.5469450619244</x:v>
      </x:c>
      <x:c r="W100" s="3" t="n">
        <x:f>FALSE()</x:f>
        <x:v>0</x:v>
      </x:c>
    </x:row>
    <x:row r="101">
      <x:c r="A101" s="2" t="inlineStr">
        <x:is>
          <x:t xml:space="preserve">Last month</x:t>
        </x:is>
      </x:c>
      <x:c r="B101" s="2" t="inlineStr">
        <x:is>
          <x:t xml:space="preserve">01.10.25 00:00..31.10.25 23:59</x:t>
        </x:is>
      </x:c>
      <x:c r="C101" s="2" t="inlineStr">
        <x:is>
          <x:t xml:space="preserve">Campaign Sales Statistics is being updated.</x:t>
        </x:is>
      </x:c>
      <x:c r="D101" s="2" t="inlineStr">
        <x:is>
          <x:t xml:space="preserve">Campaign Sales Statistics updated at: 03.11.25 15:31</x:t>
        </x:is>
      </x:c>
      <x:c r="E101" s="2" t="inlineStr">
        <x:is>
          <x:t xml:space="preserve">CM-25-02688</x:t>
        </x:is>
      </x:c>
      <x:c r="F101" s="2" t="inlineStr">
        <x:is>
          <x:t xml:space="preserve">Saffredi 2021-(1/2)-bght saffredi </x:t>
        </x:is>
      </x:c>
      <x:c r="G101" s="2" t="inlineStr">
        <x:is>
          <x:t xml:space="preserve">PRIVATE</x:t>
        </x:is>
      </x:c>
      <x:c r="H101" s="2" t="inlineStr">
        <x:is>
          <x:t xml:space="preserve">Normal</x:t>
        </x:is>
      </x:c>
      <x:c r="I101" s="3" t="n">
        <x:f>FALSE()</x:f>
        <x:v>0</x:v>
      </x:c>
      <x:c r="J101" s="4" t="n">
        <x:v>45937.58472222222</x:v>
      </x:c>
      <x:c r="K101" s="3" t="n">
        <x:v>2</x:v>
      </x:c>
      <x:c r="L101" s="2" t="inlineStr">
        <x:is>
          <x:t xml:space="preserve">5900</x:t>
        </x:is>
      </x:c>
      <x:c r="M101" s="2" t="inlineStr">
        <x:is>
          <x:t xml:space="preserve">Saffredi</x:t>
        </x:is>
      </x:c>
      <x:c r="N101" s="2" t="inlineStr">
        <x:is>
          <x:t xml:space="preserve">59276</x:t>
        </x:is>
      </x:c>
      <x:c r="O101" s="5" t="n">
        <x:v>73</x:v>
      </x:c>
      <x:c r="P101" s="2" t="inlineStr">
        <x:is>
          <x:t xml:space="preserve">2021</x:t>
        </x:is>
      </x:c>
      <x:c r="Q101" s="2" t="inlineStr">
        <x:is>
          <x:t xml:space="preserve">Fattoria le Pupille</x:t>
        </x:is>
      </x:c>
      <x:c r="R101" s="3" t="n">
        <x:v>1</x:v>
      </x:c>
      <x:c r="S101" s="3" t="n">
        <x:v>1826</x:v>
      </x:c>
      <x:c r="T101" s="3" t="n">
        <x:v>43</x:v>
      </x:c>
      <x:c r="U101" s="5" t="n">
        <x:v>2.35</x:v>
      </x:c>
      <x:c r="V101" s="5" t="n">
        <x:v>35664.1375244959292</x:v>
      </x:c>
      <x:c r="W101" s="3" t="n">
        <x:f>FALSE()</x:f>
        <x:v>0</x:v>
      </x:c>
    </x:row>
    <x:row r="102">
      <x:c r="A102" s="2" t="inlineStr">
        <x:is>
          <x:t xml:space="preserve">Last month</x:t>
        </x:is>
      </x:c>
      <x:c r="B102" s="2" t="inlineStr">
        <x:is>
          <x:t xml:space="preserve">01.10.25 00:00..31.10.25 23:59</x:t>
        </x:is>
      </x:c>
      <x:c r="C102" s="2" t="inlineStr">
        <x:is>
          <x:t xml:space="preserve">Campaign Sales Statistics is being updated.</x:t>
        </x:is>
      </x:c>
      <x:c r="D102" s="2" t="inlineStr">
        <x:is>
          <x:t xml:space="preserve">Campaign Sales Statistics updated at: 03.11.25 15:31</x:t>
        </x:is>
      </x:c>
      <x:c r="E102" s="2" t="inlineStr">
        <x:is>
          <x:t xml:space="preserve">CM-25-02687</x:t>
        </x:is>
      </x:c>
      <x:c r="F102" s="2" t="inlineStr">
        <x:is>
          <x:t xml:space="preserve">Rieussec 2019-(1/3)-bght cos 2021|figeac 2018| malescot 2022| pavie 2019</x:t>
        </x:is>
      </x:c>
      <x:c r="G102" s="2" t="inlineStr">
        <x:is>
          <x:t xml:space="preserve">PRIVATE</x:t>
        </x:is>
      </x:c>
      <x:c r="H102" s="2" t="inlineStr">
        <x:is>
          <x:t xml:space="preserve">Normal</x:t>
        </x:is>
      </x:c>
      <x:c r="I102" s="3" t="n">
        <x:f>FALSE()</x:f>
        <x:v>0</x:v>
      </x:c>
      <x:c r="J102" s="4" t="n">
        <x:v>45937.46041666667</x:v>
      </x:c>
      <x:c r="K102" s="3" t="n">
        <x:v>5</x:v>
      </x:c>
      <x:c r="L102" s="2" t="inlineStr">
        <x:is>
          <x:t xml:space="preserve">1778</x:t>
        </x:is>
      </x:c>
      <x:c r="M102" s="2" t="inlineStr">
        <x:is>
          <x:t xml:space="preserve">Rieussec</x:t>
        </x:is>
      </x:c>
      <x:c r="N102" s="2" t="inlineStr">
        <x:is>
          <x:t xml:space="preserve">54824</x:t>
        </x:is>
      </x:c>
      <x:c r="O102" s="5" t="n">
        <x:v>45</x:v>
      </x:c>
      <x:c r="P102" s="2" t="inlineStr">
        <x:is>
          <x:t xml:space="preserve">2019</x:t>
        </x:is>
      </x:c>
      <x:c r="Q102" s="2" t="inlineStr">
        <x:is>
          <x:t xml:space="preserve">Château Rieussec</x:t>
        </x:is>
      </x:c>
      <x:c r="R102" s="3" t="n">
        <x:v>1</x:v>
      </x:c>
      <x:c r="S102" s="3" t="n">
        <x:v>4508</x:v>
      </x:c>
      <x:c r="T102" s="3" t="n">
        <x:v>101</x:v>
      </x:c>
      <x:c r="U102" s="5" t="n">
        <x:v>2.24</x:v>
      </x:c>
      <x:c r="V102" s="5" t="n">
        <x:v>37359.3730675944974</x:v>
      </x:c>
      <x:c r="W102" s="3" t="n">
        <x:f>FALSE()</x:f>
        <x:v>0</x:v>
      </x:c>
    </x:row>
    <x:row r="103">
      <x:c r="A103" s="2" t="inlineStr">
        <x:is>
          <x:t xml:space="preserve">Last month</x:t>
        </x:is>
      </x:c>
      <x:c r="B103" s="2" t="inlineStr">
        <x:is>
          <x:t xml:space="preserve">01.10.25 00:00..31.10.25 23:59</x:t>
        </x:is>
      </x:c>
      <x:c r="C103" s="2" t="inlineStr">
        <x:is>
          <x:t xml:space="preserve">Campaign Sales Statistics is being updated.</x:t>
        </x:is>
      </x:c>
      <x:c r="D103" s="2" t="inlineStr">
        <x:is>
          <x:t xml:space="preserve">Campaign Sales Statistics updated at: 03.11.25 15:31</x:t>
        </x:is>
      </x:c>
      <x:c r="E103" s="2" t="inlineStr">
        <x:is>
          <x:t xml:space="preserve">CM-25-02680</x:t>
        </x:is>
      </x:c>
      <x:c r="F103" s="2" t="inlineStr">
        <x:is>
          <x:t xml:space="preserve">Faugeres 2020-(1/1)-AVG50 or bght  Lafaurie Peyraguey|Peby Faugeres  </x:t>
        </x:is>
      </x:c>
      <x:c r="G103" s="2" t="inlineStr">
        <x:is>
          <x:t xml:space="preserve">PRIVATE</x:t>
        </x:is>
      </x:c>
      <x:c r="H103" s="2" t="inlineStr">
        <x:is>
          <x:t xml:space="preserve">Normal</x:t>
        </x:is>
      </x:c>
      <x:c r="I103" s="3" t="n">
        <x:f>FALSE()</x:f>
        <x:v>0</x:v>
      </x:c>
      <x:c r="J103" s="4" t="n">
        <x:v>45936.739583333336</x:v>
      </x:c>
      <x:c r="K103" s="3" t="n">
        <x:v>1</x:v>
      </x:c>
      <x:c r="L103" s="2" t="inlineStr">
        <x:is>
          <x:t xml:space="preserve">1399</x:t>
        </x:is>
      </x:c>
      <x:c r="M103" s="2" t="inlineStr">
        <x:is>
          <x:t xml:space="preserve">Faugères</x:t>
        </x:is>
      </x:c>
      <x:c r="N103" s="2" t="inlineStr">
        <x:is>
          <x:t xml:space="preserve">53992</x:t>
        </x:is>
      </x:c>
      <x:c r="O103" s="5" t="n">
        <x:v>28</x:v>
      </x:c>
      <x:c r="P103" s="2" t="inlineStr">
        <x:is>
          <x:t xml:space="preserve">2020</x:t>
        </x:is>
      </x:c>
      <x:c r="Q103" s="2" t="inlineStr">
        <x:is>
          <x:t xml:space="preserve">Château Faugères</x:t>
        </x:is>
      </x:c>
      <x:c r="R103" s="3" t="n">
        <x:v>1</x:v>
      </x:c>
      <x:c r="S103" s="3" t="n">
        <x:v>1103</x:v>
      </x:c>
      <x:c r="T103" s="3" t="n">
        <x:v>22</x:v>
      </x:c>
      <x:c r="U103" s="5" t="n">
        <x:v>1.99</x:v>
      </x:c>
      <x:c r="V103" s="5" t="n">
        <x:v>13424.0795559666975</x:v>
      </x:c>
      <x:c r="W103" s="3" t="n">
        <x:f>FALSE()</x:f>
        <x:v>0</x:v>
      </x:c>
    </x:row>
    <x:row r="104">
      <x:c r="A104" s="2" t="inlineStr">
        <x:is>
          <x:t xml:space="preserve">Last month</x:t>
        </x:is>
      </x:c>
      <x:c r="B104" s="2" t="inlineStr">
        <x:is>
          <x:t xml:space="preserve">01.10.25 00:00..31.10.25 23:59</x:t>
        </x:is>
      </x:c>
      <x:c r="C104" s="2" t="inlineStr">
        <x:is>
          <x:t xml:space="preserve">Campaign Sales Statistics is being updated.</x:t>
        </x:is>
      </x:c>
      <x:c r="D104" s="2" t="inlineStr">
        <x:is>
          <x:t xml:space="preserve">Campaign Sales Statistics updated at: 03.11.25 15:31</x:t>
        </x:is>
      </x:c>
      <x:c r="E104" s="2" t="inlineStr">
        <x:is>
          <x:t xml:space="preserve">CM-25-02669</x:t>
        </x:is>
      </x:c>
      <x:c r="F104" s="2" t="inlineStr">
        <x:is>
          <x:t xml:space="preserve">Assortment Romanée-Conti 2016-Spent 1k pb or NW 50 m..</x:t>
        </x:is>
      </x:c>
      <x:c r="G104" s="2" t="inlineStr">
        <x:is>
          <x:t xml:space="preserve">PRIVATE</x:t>
        </x:is>
      </x:c>
      <x:c r="H104" s="2" t="inlineStr">
        <x:is>
          <x:t xml:space="preserve">Normal</x:t>
        </x:is>
      </x:c>
      <x:c r="I104" s="3" t="n">
        <x:f>FALSE()</x:f>
        <x:v>0</x:v>
      </x:c>
      <x:c r="J104" s="4" t="n">
        <x:v>45935.751388888886</x:v>
      </x:c>
      <x:c r="K104" s="3" t="n">
        <x:v>1</x:v>
      </x:c>
      <x:c r="L104" s="2" t="inlineStr">
        <x:is>
          <x:t xml:space="preserve">11210</x:t>
        </x:is>
      </x:c>
      <x:c r="M104" s="2" t="inlineStr">
        <x:is>
          <x:t xml:space="preserve">DRC Assortment Case 8 Bottles (1RC, 3LT, 2RI, 2RSV)</x:t>
        </x:is>
      </x:c>
      <x:c r="N104" s="2" t="inlineStr">
        <x:is>
          <x:t xml:space="preserve">65651</x:t>
        </x:is>
      </x:c>
      <x:c r="O104" s="5" t="n">
        <x:v>60000</x:v>
      </x:c>
      <x:c r="P104" s="2" t="inlineStr">
        <x:is>
          <x:t xml:space="preserve">2016</x:t>
        </x:is>
      </x:c>
      <x:c r="Q104" s="2" t="inlineStr">
        <x:is>
          <x:t xml:space="preserve">Domaine de la Romanée Conti</x:t>
        </x:is>
      </x:c>
      <x:c r="R104" s="3" t="n">
        <x:v>1</x:v>
      </x:c>
      <x:c r="S104" s="3" t="n">
        <x:v>556</x:v>
      </x:c>
      <x:c r="T104" s="3" t="n">
        <x:v>0</x:v>
      </x:c>
      <x:c r="U104" s="5" t="n">
        <x:v>0</x:v>
      </x:c>
      <x:c r="V104" s="5" t="n">
        <x:v>0</x:v>
      </x:c>
      <x:c r="W104" s="3" t="n">
        <x:f>FALSE()</x:f>
        <x:v>0</x:v>
      </x:c>
    </x:row>
    <x:row r="105">
      <x:c r="A105" s="2" t="inlineStr">
        <x:is>
          <x:t xml:space="preserve">Last month</x:t>
        </x:is>
      </x:c>
      <x:c r="B105" s="2" t="inlineStr">
        <x:is>
          <x:t xml:space="preserve">01.10.25 00:00..31.10.25 23:59</x:t>
        </x:is>
      </x:c>
      <x:c r="C105" s="2" t="inlineStr">
        <x:is>
          <x:t xml:space="preserve">Campaign Sales Statistics is being updated.</x:t>
        </x:is>
      </x:c>
      <x:c r="D105" s="2" t="inlineStr">
        <x:is>
          <x:t xml:space="preserve">Campaign Sales Statistics updated at: 03.11.25 15:31</x:t>
        </x:is>
      </x:c>
      <x:c r="E105" s="2" t="inlineStr">
        <x:is>
          <x:t xml:space="preserve">CM-25-02658</x:t>
        </x:is>
      </x:c>
      <x:c r="F105" s="2" t="inlineStr">
        <x:is>
          <x:t xml:space="preserve">Ornellaia 2019-(1/1)-bght Tuscany</x:t>
        </x:is>
      </x:c>
      <x:c r="G105" s="2" t="inlineStr">
        <x:is>
          <x:t xml:space="preserve">PRIVATE</x:t>
        </x:is>
      </x:c>
      <x:c r="H105" s="2" t="inlineStr">
        <x:is>
          <x:t xml:space="preserve">Normal</x:t>
        </x:is>
      </x:c>
      <x:c r="I105" s="3" t="n">
        <x:f>FALSE()</x:f>
        <x:v>0</x:v>
      </x:c>
      <x:c r="J105" s="4" t="n">
        <x:v>45935.62847222222</x:v>
      </x:c>
      <x:c r="K105" s="3" t="n">
        <x:v>1</x:v>
      </x:c>
      <x:c r="L105" s="2" t="inlineStr">
        <x:is>
          <x:t xml:space="preserve">3078</x:t>
        </x:is>
      </x:c>
      <x:c r="M105" s="2" t="inlineStr">
        <x:is>
          <x:t xml:space="preserve">Ornellaia</x:t>
        </x:is>
      </x:c>
      <x:c r="N105" s="2" t="inlineStr">
        <x:is>
          <x:t xml:space="preserve">55195</x:t>
        </x:is>
      </x:c>
      <x:c r="O105" s="5" t="n">
        <x:v>195</x:v>
      </x:c>
      <x:c r="P105" s="2" t="inlineStr">
        <x:is>
          <x:t xml:space="preserve">2019</x:t>
        </x:is>
      </x:c>
      <x:c r="Q105" s="2" t="inlineStr">
        <x:is>
          <x:t xml:space="preserve">Tenuta dell'Ornellaia</x:t>
        </x:is>
      </x:c>
      <x:c r="R105" s="3" t="n">
        <x:v>2</x:v>
      </x:c>
      <x:c r="S105" s="3" t="n">
        <x:v>2212</x:v>
      </x:c>
      <x:c r="T105" s="3" t="n">
        <x:v>29</x:v>
      </x:c>
      <x:c r="U105" s="5" t="n">
        <x:v>1.31</x:v>
      </x:c>
      <x:c r="V105" s="5" t="n">
        <x:v>47835.1025234604038</x:v>
      </x:c>
      <x:c r="W105" s="3" t="n">
        <x:f>FALSE()</x:f>
        <x:v>0</x:v>
      </x:c>
    </x:row>
    <x:row r="106">
      <x:c r="A106" s="2" t="inlineStr">
        <x:is>
          <x:t xml:space="preserve">Last month</x:t>
        </x:is>
      </x:c>
      <x:c r="B106" s="2" t="inlineStr">
        <x:is>
          <x:t xml:space="preserve">01.10.25 00:00..31.10.25 23:59</x:t>
        </x:is>
      </x:c>
      <x:c r="C106" s="2" t="inlineStr">
        <x:is>
          <x:t xml:space="preserve">Campaign Sales Statistics is being updated.</x:t>
        </x:is>
      </x:c>
      <x:c r="D106" s="2" t="inlineStr">
        <x:is>
          <x:t xml:space="preserve">Campaign Sales Statistics updated at: 03.11.25 15:31</x:t>
        </x:is>
      </x:c>
      <x:c r="E106" s="2" t="inlineStr">
        <x:is>
          <x:t xml:space="preserve">CM-25-02666</x:t>
        </x:is>
      </x:c>
      <x:c r="F106" s="2" t="inlineStr">
        <x:is>
          <x:t xml:space="preserve">Haut-Brion Blanc 2014-(1/1)-Bght&gt;500 OR HB Blanc</x:t>
        </x:is>
      </x:c>
      <x:c r="G106" s="2" t="inlineStr">
        <x:is>
          <x:t xml:space="preserve">PRIVATE</x:t>
        </x:is>
      </x:c>
      <x:c r="H106" s="2" t="inlineStr">
        <x:is>
          <x:t xml:space="preserve">Normal</x:t>
        </x:is>
      </x:c>
      <x:c r="I106" s="3" t="n">
        <x:f>FALSE()</x:f>
        <x:v>0</x:v>
      </x:c>
      <x:c r="J106" s="4" t="n">
        <x:v>45935.50069444445</x:v>
      </x:c>
      <x:c r="K106" s="3" t="n">
        <x:v>1</x:v>
      </x:c>
      <x:c r="L106" s="2" t="inlineStr">
        <x:is>
          <x:t xml:space="preserve">10466</x:t>
        </x:is>
      </x:c>
      <x:c r="M106" s="2" t="inlineStr">
        <x:is>
          <x:t xml:space="preserve">Haut Brion Blanc</x:t>
        </x:is>
      </x:c>
      <x:c r="N106" s="2" t="inlineStr">
        <x:is>
          <x:t xml:space="preserve">30022</x:t>
        </x:is>
      </x:c>
      <x:c r="O106" s="5" t="n">
        <x:v>840</x:v>
      </x:c>
      <x:c r="P106" s="2" t="inlineStr">
        <x:is>
          <x:t xml:space="preserve">2014</x:t>
        </x:is>
      </x:c>
      <x:c r="Q106" s="2" t="inlineStr">
        <x:is>
          <x:t xml:space="preserve">Château Haut Brion</x:t>
        </x:is>
      </x:c>
      <x:c r="R106" s="3" t="n">
        <x:v>1</x:v>
      </x:c>
      <x:c r="S106" s="3" t="n">
        <x:v>842</x:v>
      </x:c>
      <x:c r="T106" s="3" t="n">
        <x:v>2</x:v>
      </x:c>
      <x:c r="U106" s="5" t="n">
        <x:v>0.24</x:v>
      </x:c>
      <x:c r="V106" s="5" t="n">
        <x:v>9908.02030527289547</x:v>
      </x:c>
      <x:c r="W106" s="3" t="n">
        <x:f>FALSE()</x:f>
        <x:v>0</x:v>
      </x:c>
    </x:row>
    <x:row r="107">
      <x:c r="A107" s="2" t="inlineStr">
        <x:is>
          <x:t xml:space="preserve">Last month</x:t>
        </x:is>
      </x:c>
      <x:c r="B107" s="2" t="inlineStr">
        <x:is>
          <x:t xml:space="preserve">01.10.25 00:00..31.10.25 23:59</x:t>
        </x:is>
      </x:c>
      <x:c r="C107" s="2" t="inlineStr">
        <x:is>
          <x:t xml:space="preserve">Campaign Sales Statistics is being updated.</x:t>
        </x:is>
      </x:c>
      <x:c r="D107" s="2" t="inlineStr">
        <x:is>
          <x:t xml:space="preserve">Campaign Sales Statistics updated at: 03.11.25 15:31</x:t>
        </x:is>
      </x:c>
      <x:c r="E107" s="2" t="inlineStr">
        <x:is>
          <x:t xml:space="preserve">CM-25-02662</x:t>
        </x:is>
      </x:c>
      <x:c r="F107" s="2" t="inlineStr">
        <x:is>
          <x:t xml:space="preserve">The Flight 2019(1/3)-bhgt flight </x:t>
        </x:is>
      </x:c>
      <x:c r="G107" s="2" t="inlineStr">
        <x:is>
          <x:t xml:space="preserve">PRIVATE</x:t>
        </x:is>
      </x:c>
      <x:c r="H107" s="2" t="inlineStr">
        <x:is>
          <x:t xml:space="preserve">Normal</x:t>
        </x:is>
      </x:c>
      <x:c r="I107" s="3" t="n">
        <x:f>FALSE()</x:f>
        <x:v>0</x:v>
      </x:c>
      <x:c r="J107" s="4" t="n">
        <x:v>45934.666666666664</x:v>
      </x:c>
      <x:c r="K107" s="3" t="n">
        <x:v>3</x:v>
      </x:c>
      <x:c r="L107" s="2" t="inlineStr">
        <x:is>
          <x:t xml:space="preserve">10847</x:t>
        </x:is>
      </x:c>
      <x:c r="M107" s="2" t="inlineStr">
        <x:is>
          <x:t xml:space="preserve">The Flight</x:t>
        </x:is>
      </x:c>
      <x:c r="N107" s="2" t="inlineStr">
        <x:is>
          <x:t xml:space="preserve">61379</x:t>
        </x:is>
      </x:c>
      <x:c r="O107" s="5" t="n">
        <x:v>965</x:v>
      </x:c>
      <x:c r="P107" s="2" t="inlineStr">
        <x:is>
          <x:t xml:space="preserve">2019</x:t>
        </x:is>
      </x:c>
      <x:c r="Q107" s="2" t="inlineStr">
        <x:is>
          <x:t xml:space="preserve">Screaming Eagle Winery</x:t>
        </x:is>
      </x:c>
      <x:c r="R107" s="3" t="n">
        <x:v>1</x:v>
      </x:c>
      <x:c r="S107" s="3" t="n">
        <x:v>183</x:v>
      </x:c>
      <x:c r="T107" s="3" t="n">
        <x:v>5</x:v>
      </x:c>
      <x:c r="U107" s="5" t="n">
        <x:v>2.73</x:v>
      </x:c>
      <x:c r="V107" s="5" t="n">
        <x:v>13625.9563274745606</x:v>
      </x:c>
      <x:c r="W107" s="3" t="n">
        <x:f>FALSE()</x:f>
        <x:v>0</x:v>
      </x:c>
    </x:row>
    <x:row r="108">
      <x:c r="A108" s="2" t="inlineStr">
        <x:is>
          <x:t xml:space="preserve">Last month</x:t>
        </x:is>
      </x:c>
      <x:c r="B108" s="2" t="inlineStr">
        <x:is>
          <x:t xml:space="preserve">01.10.25 00:00..31.10.25 23:59</x:t>
        </x:is>
      </x:c>
      <x:c r="C108" s="2" t="inlineStr">
        <x:is>
          <x:t xml:space="preserve">Campaign Sales Statistics is being updated.</x:t>
        </x:is>
      </x:c>
      <x:c r="D108" s="2" t="inlineStr">
        <x:is>
          <x:t xml:space="preserve">Campaign Sales Statistics updated at: 03.11.25 15:31</x:t>
        </x:is>
      </x:c>
      <x:c r="E108" s="2" t="inlineStr">
        <x:is>
          <x:t xml:space="preserve">CM-25-02670</x:t>
        </x:is>
      </x:c>
      <x:c r="F108" s="2" t="inlineStr">
        <x:is>
          <x:t xml:space="preserve">Margaux 2018-(1/1)-exclude Degu Box</x:t>
        </x:is>
      </x:c>
      <x:c r="G108" s="2" t="inlineStr">
        <x:is>
          <x:t xml:space="preserve">PRIVATE</x:t>
        </x:is>
      </x:c>
      <x:c r="H108" s="2" t="inlineStr">
        <x:is>
          <x:t xml:space="preserve">Normal</x:t>
        </x:is>
      </x:c>
      <x:c r="I108" s="3" t="n">
        <x:f>FALSE()</x:f>
        <x:v>0</x:v>
      </x:c>
      <x:c r="J108" s="4" t="n">
        <x:v>45934.46041666667</x:v>
      </x:c>
      <x:c r="K108" s="3" t="n">
        <x:v>1</x:v>
      </x:c>
      <x:c r="L108" s="2" t="inlineStr">
        <x:is>
          <x:t xml:space="preserve">1666</x:t>
        </x:is>
      </x:c>
      <x:c r="M108" s="2" t="inlineStr">
        <x:is>
          <x:t xml:space="preserve">Margaux</x:t>
        </x:is>
      </x:c>
      <x:c r="N108" s="2" t="inlineStr">
        <x:is>
          <x:t xml:space="preserve">48963</x:t>
        </x:is>
      </x:c>
      <x:c r="O108" s="5" t="n">
        <x:v>515</x:v>
      </x:c>
      <x:c r="P108" s="2" t="inlineStr">
        <x:is>
          <x:t xml:space="preserve">2018</x:t>
        </x:is>
      </x:c>
      <x:c r="Q108" s="2" t="inlineStr">
        <x:is>
          <x:t xml:space="preserve">Château Margaux</x:t>
        </x:is>
      </x:c>
      <x:c r="R108" s="3" t="n">
        <x:v>1</x:v>
      </x:c>
      <x:c r="S108" s="3" t="n">
        <x:v>2524</x:v>
      </x:c>
      <x:c r="T108" s="3" t="n">
        <x:v>27</x:v>
      </x:c>
      <x:c r="U108" s="5" t="n">
        <x:v>1.07</x:v>
      </x:c>
      <x:c r="V108" s="5" t="n">
        <x:v>111161.844141411352</x:v>
      </x:c>
      <x:c r="W108" s="3" t="n">
        <x:f>FALSE()</x:f>
        <x:v>0</x:v>
      </x:c>
    </x:row>
    <x:row r="109">
      <x:c r="A109" s="2" t="inlineStr">
        <x:is>
          <x:t xml:space="preserve">Last month</x:t>
        </x:is>
      </x:c>
      <x:c r="B109" s="2" t="inlineStr">
        <x:is>
          <x:t xml:space="preserve">01.10.25 00:00..31.10.25 23:59</x:t>
        </x:is>
      </x:c>
      <x:c r="C109" s="2" t="inlineStr">
        <x:is>
          <x:t xml:space="preserve">Campaign Sales Statistics is being updated.</x:t>
        </x:is>
      </x:c>
      <x:c r="D109" s="2" t="inlineStr">
        <x:is>
          <x:t xml:space="preserve">Campaign Sales Statistics updated at: 03.11.25 15:31</x:t>
        </x:is>
      </x:c>
      <x:c r="E109" s="2" t="inlineStr">
        <x:is>
          <x:t xml:space="preserve">CM-25-02671</x:t>
        </x:is>
      </x:c>
      <x:c r="F109" s="2" t="inlineStr">
        <x:is>
          <x:t xml:space="preserve">Degu Box 2020-AVG50-new Budget</x:t>
        </x:is>
      </x:c>
      <x:c r="G109" s="2" t="inlineStr">
        <x:is>
          <x:t xml:space="preserve">PRIVATE</x:t>
        </x:is>
      </x:c>
      <x:c r="H109" s="2" t="inlineStr">
        <x:is>
          <x:t xml:space="preserve">Normal</x:t>
        </x:is>
      </x:c>
      <x:c r="I109" s="3" t="n">
        <x:f>TRUE()</x:f>
        <x:v>1</x:v>
      </x:c>
      <x:c r="J109" s="4" t="n">
        <x:v>45934.458333333336</x:v>
      </x:c>
      <x:c r="K109" s="3" t="n">
        <x:v>1</x:v>
      </x:c>
      <x:c r="L109" s="2" t="inlineStr">
        <x:is>
          <x:t xml:space="preserve">44045</x:t>
        </x:is>
      </x:c>
      <x:c r="M109" s="2" t="inlineStr">
        <x:is>
          <x:t xml:space="preserve">Assortment 14 Cru Bourgeois Exceptionnel (14x75cl)</x:t>
        </x:is>
      </x:c>
      <x:c r="N109" s="2" t="inlineStr">
        <x:is>
          <x:t xml:space="preserve">62886</x:t>
        </x:is>
      </x:c>
      <x:c r="O109" s="5" t="n">
        <x:v>350</x:v>
      </x:c>
      <x:c r="P109" s="2" t="inlineStr">
        <x:is>
          <x:t xml:space="preserve">2020</x:t>
        </x:is>
      </x:c>
      <x:c r="Q109" s="2" t="inlineStr">
        <x:is>
          <x:t xml:space="preserve">Assortment Bordeaux</x:t>
        </x:is>
      </x:c>
      <x:c r="R109" s="3" t="n">
        <x:v>1</x:v>
      </x:c>
      <x:c r="S109" s="3" t="n">
        <x:v>747</x:v>
      </x:c>
      <x:c r="T109" s="3" t="n">
        <x:v>17</x:v>
      </x:c>
      <x:c r="U109" s="5" t="n">
        <x:v>2.28</x:v>
      </x:c>
      <x:c r="V109" s="5" t="n">
        <x:v>6880.97799623528978</x:v>
      </x:c>
      <x:c r="W109" s="3" t="n">
        <x:f>FALSE()</x:f>
        <x:v>0</x:v>
      </x:c>
    </x:row>
    <x:row r="110">
      <x:c r="A110" s="2" t="inlineStr">
        <x:is>
          <x:t xml:space="preserve">Last month</x:t>
        </x:is>
      </x:c>
      <x:c r="B110" s="2" t="inlineStr">
        <x:is>
          <x:t xml:space="preserve">01.10.25 00:00..31.10.25 23:59</x:t>
        </x:is>
      </x:c>
      <x:c r="C110" s="2" t="inlineStr">
        <x:is>
          <x:t xml:space="preserve">Campaign Sales Statistics is being updated.</x:t>
        </x:is>
      </x:c>
      <x:c r="D110" s="2" t="inlineStr">
        <x:is>
          <x:t xml:space="preserve">Campaign Sales Statistics updated at: 03.11.25 15:31</x:t>
        </x:is>
      </x:c>
      <x:c r="E110" s="2" t="inlineStr">
        <x:is>
          <x:t xml:space="preserve">CM-25-02652</x:t>
        </x:is>
      </x:c>
      <x:c r="F110" s="2" t="inlineStr">
        <x:is>
          <x:t xml:space="preserve">Degu Box 2020-received BOX-not2020</x:t>
        </x:is>
      </x:c>
      <x:c r="G110" s="2" t="inlineStr">
        <x:is>
          <x:t xml:space="preserve">PRIVATE</x:t>
        </x:is>
      </x:c>
      <x:c r="H110" s="2" t="inlineStr">
        <x:is>
          <x:t xml:space="preserve">Normal</x:t>
        </x:is>
      </x:c>
      <x:c r="I110" s="3" t="n">
        <x:f>TRUE()</x:f>
        <x:v>1</x:v>
      </x:c>
      <x:c r="J110" s="4" t="n">
        <x:v>45934.458333333336</x:v>
      </x:c>
      <x:c r="K110" s="3" t="n">
        <x:v>1</x:v>
      </x:c>
      <x:c r="L110" s="2" t="inlineStr">
        <x:is>
          <x:t xml:space="preserve">44045</x:t>
        </x:is>
      </x:c>
      <x:c r="M110" s="2" t="inlineStr">
        <x:is>
          <x:t xml:space="preserve">Assortment 14 Cru Bourgeois Exceptionnel (14x75cl)</x:t>
        </x:is>
      </x:c>
      <x:c r="N110" s="2" t="inlineStr">
        <x:is>
          <x:t xml:space="preserve">62886</x:t>
        </x:is>
      </x:c>
      <x:c r="O110" s="5" t="n">
        <x:v>350</x:v>
      </x:c>
      <x:c r="P110" s="2" t="inlineStr">
        <x:is>
          <x:t xml:space="preserve">2020</x:t>
        </x:is>
      </x:c>
      <x:c r="Q110" s="2" t="inlineStr">
        <x:is>
          <x:t xml:space="preserve">Assortment Bordeaux</x:t>
        </x:is>
      </x:c>
      <x:c r="R110" s="3" t="n">
        <x:v>1</x:v>
      </x:c>
      <x:c r="S110" s="3" t="n">
        <x:v>128</x:v>
      </x:c>
      <x:c r="T110" s="3" t="n">
        <x:v>6</x:v>
      </x:c>
      <x:c r="U110" s="5" t="n">
        <x:v>4.69</x:v>
      </x:c>
      <x:c r="V110" s="5" t="n">
        <x:v>2752.38695514103857</x:v>
      </x:c>
      <x:c r="W110" s="3" t="n">
        <x:f>FALSE()</x:f>
        <x:v>0</x:v>
      </x:c>
    </x:row>
    <x:row r="111">
      <x:c r="A111" s="2" t="inlineStr">
        <x:is>
          <x:t xml:space="preserve">Last month</x:t>
        </x:is>
      </x:c>
      <x:c r="B111" s="2" t="inlineStr">
        <x:is>
          <x:t xml:space="preserve">01.10.25 00:00..31.10.25 23:59</x:t>
        </x:is>
      </x:c>
      <x:c r="C111" s="2" t="inlineStr">
        <x:is>
          <x:t xml:space="preserve">Campaign Sales Statistics is being updated.</x:t>
        </x:is>
      </x:c>
      <x:c r="D111" s="2" t="inlineStr">
        <x:is>
          <x:t xml:space="preserve">Campaign Sales Statistics updated at: 03.11.25 15:31</x:t>
        </x:is>
      </x:c>
      <x:c r="E111" s="2" t="inlineStr">
        <x:is>
          <x:t xml:space="preserve">CM-25-02661</x:t>
        </x:is>
      </x:c>
      <x:c r="F111" s="2" t="inlineStr">
        <x:is>
          <x:t xml:space="preserve">LEADS: HoReCa: Concerto 2023-(0)-INACTIVE</x:t>
        </x:is>
      </x:c>
      <x:c r="G111" s="2" t="inlineStr">
        <x:is>
          <x:t xml:space="preserve">HORECA</x:t>
        </x:is>
      </x:c>
      <x:c r="H111" s="2" t="inlineStr">
        <x:is>
          <x:t xml:space="preserve">Lead</x:t>
        </x:is>
      </x:c>
      <x:c r="I111" s="3" t="n">
        <x:f>FALSE()</x:f>
        <x:v>0</x:v>
      </x:c>
      <x:c r="J111" s="4" t="n">
        <x:v>45934.447916666664</x:v>
      </x:c>
      <x:c r="K111" s="3" t="n">
        <x:v>1</x:v>
      </x:c>
      <x:c r="L111" s="2" t="inlineStr">
        <x:is>
          <x:t xml:space="preserve">36261</x:t>
        </x:is>
      </x:c>
      <x:c r="M111" s="2" t="inlineStr">
        <x:is>
          <x:t xml:space="preserve">Concerto</x:t>
        </x:is>
      </x:c>
      <x:c r="N111" s="2" t="inlineStr">
        <x:is>
          <x:t xml:space="preserve">65412</x:t>
        </x:is>
      </x:c>
      <x:c r="O111" s="5" t="n">
        <x:v>34</x:v>
      </x:c>
      <x:c r="P111" s="2" t="inlineStr">
        <x:is>
          <x:t xml:space="preserve">2023</x:t>
        </x:is>
      </x:c>
      <x:c r="Q111" s="2" t="inlineStr">
        <x:is>
          <x:t xml:space="preserve">Marchesi Mazzei Castello di Fonterutoli</x:t>
        </x:is>
      </x:c>
      <x:c r="R111" s="3" t="n">
        <x:v>1</x:v>
      </x:c>
      <x:c r="S111" s="3" t="n">
        <x:v>2066</x:v>
      </x:c>
      <x:c r="T111" s="3" t="n">
        <x:v>1</x:v>
      </x:c>
      <x:c r="U111" s="5" t="n">
        <x:v>0.05</x:v>
      </x:c>
      <x:c r="V111" s="5" t="n">
        <x:v>196.891766882516189</x:v>
      </x:c>
      <x:c r="W111" s="3" t="n">
        <x:f>FALSE()</x:f>
        <x:v>0</x:v>
      </x:c>
    </x:row>
    <x:row r="112">
      <x:c r="A112" s="2" t="inlineStr">
        <x:is>
          <x:t xml:space="preserve">Last month</x:t>
        </x:is>
      </x:c>
      <x:c r="B112" s="2" t="inlineStr">
        <x:is>
          <x:t xml:space="preserve">01.10.25 00:00..31.10.25 23:59</x:t>
        </x:is>
      </x:c>
      <x:c r="C112" s="2" t="inlineStr">
        <x:is>
          <x:t xml:space="preserve">Campaign Sales Statistics is being updated.</x:t>
        </x:is>
      </x:c>
      <x:c r="D112" s="2" t="inlineStr">
        <x:is>
          <x:t xml:space="preserve">Campaign Sales Statistics updated at: 03.11.25 15:31</x:t>
        </x:is>
      </x:c>
      <x:c r="E112" s="2" t="inlineStr">
        <x:is>
          <x:t xml:space="preserve">CM-25-02659</x:t>
        </x:is>
      </x:c>
      <x:c r="F112" s="2" t="inlineStr">
        <x:is>
          <x:t xml:space="preserve">HoReCa: Concerto 2023-(1/2)-Active</x:t>
        </x:is>
      </x:c>
      <x:c r="G112" s="2" t="inlineStr">
        <x:is>
          <x:t xml:space="preserve">HORECA</x:t>
        </x:is>
      </x:c>
      <x:c r="H112" s="2" t="inlineStr">
        <x:is>
          <x:t xml:space="preserve">Normal</x:t>
        </x:is>
      </x:c>
      <x:c r="I112" s="3" t="n">
        <x:f>FALSE()</x:f>
        <x:v>0</x:v>
      </x:c>
      <x:c r="J112" s="4" t="n">
        <x:v>45934.447916666664</x:v>
      </x:c>
      <x:c r="K112" s="3" t="n">
        <x:v>2</x:v>
      </x:c>
      <x:c r="L112" s="2" t="inlineStr">
        <x:is>
          <x:t xml:space="preserve">36261</x:t>
        </x:is>
      </x:c>
      <x:c r="M112" s="2" t="inlineStr">
        <x:is>
          <x:t xml:space="preserve">Concerto</x:t>
        </x:is>
      </x:c>
      <x:c r="N112" s="2" t="inlineStr">
        <x:is>
          <x:t xml:space="preserve">65412</x:t>
        </x:is>
      </x:c>
      <x:c r="O112" s="5" t="n">
        <x:v>34</x:v>
      </x:c>
      <x:c r="P112" s="2" t="inlineStr">
        <x:is>
          <x:t xml:space="preserve">2023</x:t>
        </x:is>
      </x:c>
      <x:c r="Q112" s="2" t="inlineStr">
        <x:is>
          <x:t xml:space="preserve">Marchesi Mazzei Castello di Fonterutoli</x:t>
        </x:is>
      </x:c>
      <x:c r="R112" s="3" t="n">
        <x:v>1</x:v>
      </x:c>
      <x:c r="S112" s="3" t="n">
        <x:v>258</x:v>
      </x:c>
      <x:c r="T112" s="3" t="n">
        <x:v>4</x:v>
      </x:c>
      <x:c r="U112" s="5" t="n">
        <x:v>1.55</x:v>
      </x:c>
      <x:c r="V112" s="5" t="n">
        <x:v>7011.7630165545998</x:v>
      </x:c>
      <x:c r="W112" s="3" t="n">
        <x:f>FALSE()</x:f>
        <x:v>0</x:v>
      </x:c>
    </x:row>
    <x:row r="113">
      <x:c r="A113" s="2" t="inlineStr">
        <x:is>
          <x:t xml:space="preserve">Last month</x:t>
        </x:is>
      </x:c>
      <x:c r="B113" s="2" t="inlineStr">
        <x:is>
          <x:t xml:space="preserve">01.10.25 00:00..31.10.25 23:59</x:t>
        </x:is>
      </x:c>
      <x:c r="C113" s="2" t="inlineStr">
        <x:is>
          <x:t xml:space="preserve">Campaign Sales Statistics is being updated.</x:t>
        </x:is>
      </x:c>
      <x:c r="D113" s="2" t="inlineStr">
        <x:is>
          <x:t xml:space="preserve">Campaign Sales Statistics updated at: 03.11.25 15:31</x:t>
        </x:is>
      </x:c>
      <x:c r="E113" s="2" t="inlineStr">
        <x:is>
          <x:t xml:space="preserve">CM-25-02656</x:t>
        </x:is>
      </x:c>
      <x:c r="F113" s="2" t="inlineStr">
        <x:is>
          <x:t xml:space="preserve">DD-1:Zeltinger Sonnenuhr Beerenauslese 2017-bght 2 Sauternes&gt;200 not sweet deu</x:t>
        </x:is>
      </x:c>
      <x:c r="G113" s="2" t="inlineStr">
        <x:is>
          <x:t xml:space="preserve">PRIVATE</x:t>
        </x:is>
      </x:c>
      <x:c r="H113" s="2" t="inlineStr">
        <x:is>
          <x:t xml:space="preserve">Normal</x:t>
        </x:is>
      </x:c>
      <x:c r="I113" s="3" t="n">
        <x:f>FALSE()</x:f>
        <x:v>0</x:v>
      </x:c>
      <x:c r="J113" s="4" t="n">
        <x:v>45934.4375</x:v>
      </x:c>
      <x:c r="K113" s="3" t="n">
        <x:v>1</x:v>
      </x:c>
      <x:c r="L113" s="2" t="inlineStr">
        <x:is>
          <x:t xml:space="preserve">44073</x:t>
        </x:is>
      </x:c>
      <x:c r="M113" s="2" t="inlineStr">
        <x:is>
          <x:t xml:space="preserve">Riesling  Zeltinger Sonnenuhr Beerenauslese Goldkapsel</x:t>
        </x:is>
      </x:c>
      <x:c r="N113" s="2" t="inlineStr">
        <x:is>
          <x:t xml:space="preserve">52619</x:t>
        </x:is>
      </x:c>
      <x:c r="O113" s="5" t="n">
        <x:v>240</x:v>
      </x:c>
      <x:c r="P113" s="2" t="inlineStr">
        <x:is>
          <x:t xml:space="preserve">2017</x:t>
        </x:is>
      </x:c>
      <x:c r="Q113" s="2" t="inlineStr">
        <x:is>
          <x:t xml:space="preserve">Weingut Markus Molitor</x:t>
        </x:is>
      </x:c>
      <x:c r="R113" s="3" t="n">
        <x:v>1</x:v>
      </x:c>
      <x:c r="S113" s="3" t="n">
        <x:v>324</x:v>
      </x:c>
      <x:c r="T113" s="3" t="n">
        <x:v>2</x:v>
      </x:c>
      <x:c r="U113" s="5" t="n">
        <x:v>0.62</x:v>
      </x:c>
      <x:c r="V113" s="5" t="n">
        <x:v>1862.86771507863089</x:v>
      </x:c>
      <x:c r="W113" s="3" t="n">
        <x:f>TRUE()</x:f>
        <x:v>1</x:v>
      </x:c>
    </x:row>
    <x:row r="114">
      <x:c r="A114" s="2" t="inlineStr">
        <x:is>
          <x:t xml:space="preserve">Last month</x:t>
        </x:is>
      </x:c>
      <x:c r="B114" s="2" t="inlineStr">
        <x:is>
          <x:t xml:space="preserve">01.10.25 00:00..31.10.25 23:59</x:t>
        </x:is>
      </x:c>
      <x:c r="C114" s="2" t="inlineStr">
        <x:is>
          <x:t xml:space="preserve">Campaign Sales Statistics is being updated.</x:t>
        </x:is>
      </x:c>
      <x:c r="D114" s="2" t="inlineStr">
        <x:is>
          <x:t xml:space="preserve">Campaign Sales Statistics updated at: 03.11.25 15:31</x:t>
        </x:is>
      </x:c>
      <x:c r="E114" s="2" t="inlineStr">
        <x:is>
          <x:t xml:space="preserve">CM-25-02655</x:t>
        </x:is>
      </x:c>
      <x:c r="F114" s="2" t="inlineStr">
        <x:is>
          <x:t xml:space="preserve">Evangile 2015-(1/1)-bght BDX&gt;150</x:t>
        </x:is>
      </x:c>
      <x:c r="G114" s="2" t="inlineStr">
        <x:is>
          <x:t xml:space="preserve">PRIVATE</x:t>
        </x:is>
      </x:c>
      <x:c r="H114" s="2" t="inlineStr">
        <x:is>
          <x:t xml:space="preserve">Normal</x:t>
        </x:is>
      </x:c>
      <x:c r="I114" s="3" t="n">
        <x:f>FALSE()</x:f>
        <x:v>0</x:v>
      </x:c>
      <x:c r="J114" s="4" t="n">
        <x:v>45933.709027777775</x:v>
      </x:c>
      <x:c r="K114" s="3" t="n">
        <x:v>1</x:v>
      </x:c>
      <x:c r="L114" s="2" t="inlineStr">
        <x:is>
          <x:t xml:space="preserve">1503</x:t>
        </x:is>
      </x:c>
      <x:c r="M114" s="2" t="inlineStr">
        <x:is>
          <x:t xml:space="preserve">L'Évangile</x:t>
        </x:is>
      </x:c>
      <x:c r="N114" s="2" t="inlineStr">
        <x:is>
          <x:t xml:space="preserve">35728</x:t>
        </x:is>
      </x:c>
      <x:c r="O114" s="5" t="n">
        <x:v>210</x:v>
      </x:c>
      <x:c r="P114" s="2" t="inlineStr">
        <x:is>
          <x:t xml:space="preserve">2015</x:t>
        </x:is>
      </x:c>
      <x:c r="Q114" s="2" t="inlineStr">
        <x:is>
          <x:t xml:space="preserve">Château L'Évangile</x:t>
        </x:is>
      </x:c>
      <x:c r="R114" s="3" t="n">
        <x:v>1</x:v>
      </x:c>
      <x:c r="S114" s="3" t="n">
        <x:v>1517</x:v>
      </x:c>
      <x:c r="T114" s="3" t="n">
        <x:v>21</x:v>
      </x:c>
      <x:c r="U114" s="5" t="n">
        <x:v>1.38</x:v>
      </x:c>
      <x:c r="V114" s="5" t="n">
        <x:v>35662.7125159585974</x:v>
      </x:c>
      <x:c r="W114" s="3" t="n">
        <x:f>FALSE()</x:f>
        <x:v>0</x:v>
      </x:c>
    </x:row>
    <x:row r="115">
      <x:c r="A115" s="2" t="inlineStr">
        <x:is>
          <x:t xml:space="preserve">Last month</x:t>
        </x:is>
      </x:c>
      <x:c r="B115" s="2" t="inlineStr">
        <x:is>
          <x:t xml:space="preserve">01.10.25 00:00..31.10.25 23:59</x:t>
        </x:is>
      </x:c>
      <x:c r="C115" s="2" t="inlineStr">
        <x:is>
          <x:t xml:space="preserve">Campaign Sales Statistics is being updated.</x:t>
        </x:is>
      </x:c>
      <x:c r="D115" s="2" t="inlineStr">
        <x:is>
          <x:t xml:space="preserve">Campaign Sales Statistics updated at: 03.11.25 15:31</x:t>
        </x:is>
      </x:c>
      <x:c r="E115" s="2" t="inlineStr">
        <x:is>
          <x:t xml:space="preserve">CM-25-02649</x:t>
        </x:is>
      </x:c>
      <x:c r="F115" s="2" t="inlineStr">
        <x:is>
          <x:t xml:space="preserve">RECALL: LEADS: HORECA: Pavie 2019-0-INActive</x:t>
        </x:is>
      </x:c>
      <x:c r="G115" s="2" t="inlineStr">
        <x:is>
          <x:t xml:space="preserve">HORECA</x:t>
        </x:is>
      </x:c>
      <x:c r="H115" s="2" t="inlineStr">
        <x:is>
          <x:t xml:space="preserve">Lead</x:t>
        </x:is>
      </x:c>
      <x:c r="I115" s="3" t="n">
        <x:f>FALSE()</x:f>
        <x:v>0</x:v>
      </x:c>
      <x:c r="J115" s="4" t="n">
        <x:v>45933.65</x:v>
      </x:c>
      <x:c r="K115" s="3" t="n">
        <x:v>1</x:v>
      </x:c>
      <x:c r="L115" s="2" t="inlineStr">
        <x:is>
          <x:t xml:space="preserve">1719</x:t>
        </x:is>
      </x:c>
      <x:c r="M115" s="2" t="inlineStr">
        <x:is>
          <x:t xml:space="preserve">Pavie</x:t>
        </x:is>
      </x:c>
      <x:c r="N115" s="2" t="inlineStr">
        <x:is>
          <x:t xml:space="preserve">51417</x:t>
        </x:is>
      </x:c>
      <x:c r="O115" s="5" t="n">
        <x:v>180</x:v>
      </x:c>
      <x:c r="P115" s="2" t="inlineStr">
        <x:is>
          <x:t xml:space="preserve">2019</x:t>
        </x:is>
      </x:c>
      <x:c r="Q115" s="2" t="inlineStr">
        <x:is>
          <x:t xml:space="preserve">Château Pavie</x:t>
        </x:is>
      </x:c>
      <x:c r="R115" s="3" t="n">
        <x:v>1</x:v>
      </x:c>
      <x:c r="S115" s="3" t="n">
        <x:v>2061</x:v>
      </x:c>
      <x:c r="T115" s="3" t="n">
        <x:v>1</x:v>
      </x:c>
      <x:c r="U115" s="5" t="n">
        <x:v>0.05</x:v>
      </x:c>
      <x:c r="V115" s="5" t="n">
        <x:v>2134.01480111008326</x:v>
      </x:c>
      <x:c r="W115" s="3" t="n">
        <x:f>FALSE()</x:f>
        <x:v>0</x:v>
      </x:c>
    </x:row>
    <x:row r="116">
      <x:c r="A116" s="2" t="inlineStr">
        <x:is>
          <x:t xml:space="preserve">Last month</x:t>
        </x:is>
      </x:c>
      <x:c r="B116" s="2" t="inlineStr">
        <x:is>
          <x:t xml:space="preserve">01.10.25 00:00..31.10.25 23:59</x:t>
        </x:is>
      </x:c>
      <x:c r="C116" s="2" t="inlineStr">
        <x:is>
          <x:t xml:space="preserve">Campaign Sales Statistics is being updated.</x:t>
        </x:is>
      </x:c>
      <x:c r="D116" s="2" t="inlineStr">
        <x:is>
          <x:t xml:space="preserve">Campaign Sales Statistics updated at: 03.11.25 15:31</x:t>
        </x:is>
      </x:c>
      <x:c r="E116" s="2" t="inlineStr">
        <x:is>
          <x:t xml:space="preserve">CM-25-02645</x:t>
        </x:is>
      </x:c>
      <x:c r="F116" s="2" t="inlineStr">
        <x:is>
          <x:t xml:space="preserve">Clos Haut-Peyraguey 2017-(1/2)-bhgt nairac</x:t>
        </x:is>
      </x:c>
      <x:c r="G116" s="2" t="inlineStr">
        <x:is>
          <x:t xml:space="preserve">PRIVATE</x:t>
        </x:is>
      </x:c>
      <x:c r="H116" s="2" t="inlineStr">
        <x:is>
          <x:t xml:space="preserve">Normal</x:t>
        </x:is>
      </x:c>
      <x:c r="I116" s="3" t="n">
        <x:f>FALSE()</x:f>
        <x:v>0</x:v>
      </x:c>
      <x:c r="J116" s="4" t="n">
        <x:v>45933.645833333336</x:v>
      </x:c>
      <x:c r="K116" s="3" t="n">
        <x:v>2</x:v>
      </x:c>
      <x:c r="L116" s="2" t="inlineStr">
        <x:is>
          <x:t xml:space="preserve">1340</x:t>
        </x:is>
      </x:c>
      <x:c r="M116" s="2" t="inlineStr">
        <x:is>
          <x:t xml:space="preserve">Clos Haut Peyraguey</x:t>
        </x:is>
      </x:c>
      <x:c r="N116" s="2" t="inlineStr">
        <x:is>
          <x:t xml:space="preserve">45585</x:t>
        </x:is>
      </x:c>
      <x:c r="O116" s="5" t="n">
        <x:v>30</x:v>
      </x:c>
      <x:c r="P116" s="2" t="inlineStr">
        <x:is>
          <x:t xml:space="preserve">2017</x:t>
        </x:is>
      </x:c>
      <x:c r="Q116" s="2" t="inlineStr">
        <x:is>
          <x:t xml:space="preserve">Clos Haut-Peyraguey</x:t>
        </x:is>
      </x:c>
      <x:c r="R116" s="3" t="n">
        <x:v>1</x:v>
      </x:c>
      <x:c r="S116" s="3" t="n">
        <x:v>300</x:v>
      </x:c>
      <x:c r="T116" s="3" t="n">
        <x:v>10</x:v>
      </x:c>
      <x:c r="U116" s="5" t="n">
        <x:v>3.33</x:v>
      </x:c>
      <x:c r="V116" s="5" t="n">
        <x:v>3838.90841813135986</x:v>
      </x:c>
      <x:c r="W116" s="3" t="n">
        <x:f>FALSE()</x:f>
        <x:v>0</x:v>
      </x:c>
    </x:row>
    <x:row r="117">
      <x:c r="A117" s="2" t="inlineStr">
        <x:is>
          <x:t xml:space="preserve">Last month</x:t>
        </x:is>
      </x:c>
      <x:c r="B117" s="2" t="inlineStr">
        <x:is>
          <x:t xml:space="preserve">01.10.25 00:00..31.10.25 23:59</x:t>
        </x:is>
      </x:c>
      <x:c r="C117" s="2" t="inlineStr">
        <x:is>
          <x:t xml:space="preserve">Campaign Sales Statistics is being updated.</x:t>
        </x:is>
      </x:c>
      <x:c r="D117" s="2" t="inlineStr">
        <x:is>
          <x:t xml:space="preserve">Campaign Sales Statistics updated at: 03.11.25 15:31</x:t>
        </x:is>
      </x:c>
      <x:c r="E117" s="2" t="inlineStr">
        <x:is>
          <x:t xml:space="preserve">CM-25-02644</x:t>
        </x:is>
      </x:c>
      <x:c r="F117" s="2" t="inlineStr">
        <x:is>
          <x:t xml:space="preserve">Chateau d'Yquem 2015-(1/1)-bght&gt;300</x:t>
        </x:is>
      </x:c>
      <x:c r="G117" s="2" t="inlineStr">
        <x:is>
          <x:t xml:space="preserve">PRIVATE</x:t>
        </x:is>
      </x:c>
      <x:c r="H117" s="2" t="inlineStr">
        <x:is>
          <x:t xml:space="preserve">Normal</x:t>
        </x:is>
      </x:c>
      <x:c r="I117" s="3" t="n">
        <x:f>FALSE()</x:f>
        <x:v>0</x:v>
      </x:c>
      <x:c r="J117" s="4" t="n">
        <x:v>45933.625</x:v>
      </x:c>
      <x:c r="K117" s="3" t="n">
        <x:v>1</x:v>
      </x:c>
      <x:c r="L117" s="2" t="inlineStr">
        <x:is>
          <x:t xml:space="preserve">1858</x:t>
        </x:is>
      </x:c>
      <x:c r="M117" s="2" t="inlineStr">
        <x:is>
          <x:t xml:space="preserve">Yquem</x:t>
        </x:is>
      </x:c>
      <x:c r="N117" s="2" t="inlineStr">
        <x:is>
          <x:t xml:space="preserve">36554</x:t>
        </x:is>
      </x:c>
      <x:c r="O117" s="5" t="n">
        <x:v>416</x:v>
      </x:c>
      <x:c r="P117" s="2" t="inlineStr">
        <x:is>
          <x:t xml:space="preserve">2015</x:t>
        </x:is>
      </x:c>
      <x:c r="Q117" s="2" t="inlineStr">
        <x:is>
          <x:t xml:space="preserve">Château d'Yquem</x:t>
        </x:is>
      </x:c>
      <x:c r="R117" s="3" t="n">
        <x:v>1</x:v>
      </x:c>
      <x:c r="S117" s="3" t="n">
        <x:v>1249</x:v>
      </x:c>
      <x:c r="T117" s="3" t="n">
        <x:v>13</x:v>
      </x:c>
      <x:c r="U117" s="5" t="n">
        <x:v>1.04</x:v>
      </x:c>
      <x:c r="V117" s="5" t="n">
        <x:v>32092.1437372802961</x:v>
      </x:c>
      <x:c r="W117" s="3" t="n">
        <x:f>FALSE()</x:f>
        <x:v>0</x:v>
      </x:c>
    </x:row>
    <x:row r="118">
      <x:c r="A118" s="2" t="inlineStr">
        <x:is>
          <x:t xml:space="preserve">Last month</x:t>
        </x:is>
      </x:c>
      <x:c r="B118" s="2" t="inlineStr">
        <x:is>
          <x:t xml:space="preserve">01.10.25 00:00..31.10.25 23:59</x:t>
        </x:is>
      </x:c>
      <x:c r="C118" s="2" t="inlineStr">
        <x:is>
          <x:t xml:space="preserve">Campaign Sales Statistics is being updated.</x:t>
        </x:is>
      </x:c>
      <x:c r="D118" s="2" t="inlineStr">
        <x:is>
          <x:t xml:space="preserve">Campaign Sales Statistics updated at: 03.11.25 15:31</x:t>
        </x:is>
      </x:c>
      <x:c r="E118" s="2" t="inlineStr">
        <x:is>
          <x:t xml:space="preserve">CM-25-02637</x:t>
        </x:is>
      </x:c>
      <x:c r="F118" s="2" t="inlineStr">
        <x:is>
          <x:t xml:space="preserve">Hommage à Jacques Perrin-DD_1-bght BIG and Rhones </x:t>
        </x:is>
      </x:c>
      <x:c r="G118" s="2" t="inlineStr">
        <x:is>
          <x:t xml:space="preserve">PRIVATE</x:t>
        </x:is>
      </x:c>
      <x:c r="H118" s="2" t="inlineStr">
        <x:is>
          <x:t xml:space="preserve">Normal</x:t>
        </x:is>
      </x:c>
      <x:c r="I118" s="3" t="n">
        <x:f>FALSE()</x:f>
        <x:v>0</x:v>
      </x:c>
      <x:c r="J118" s="4" t="n">
        <x:v>45933.458333333336</x:v>
      </x:c>
      <x:c r="K118" s="3" t="n">
        <x:v>1</x:v>
      </x:c>
      <x:c r="L118" s="2" t="inlineStr">
        <x:is>
          <x:t xml:space="preserve">3611</x:t>
        </x:is>
      </x:c>
      <x:c r="M118" s="2" t="inlineStr">
        <x:is>
          <x:t xml:space="preserve">Hommage à Jacques Perrin</x:t>
        </x:is>
      </x:c>
      <x:c r="N118" s="2" t="inlineStr">
        <x:is>
          <x:t xml:space="preserve">32234</x:t>
        </x:is>
      </x:c>
      <x:c r="O118" s="5" t="n">
        <x:v>685</x:v>
      </x:c>
      <x:c r="P118" s="2" t="inlineStr">
        <x:is>
          <x:t xml:space="preserve">2013</x:t>
        </x:is>
      </x:c>
      <x:c r="Q118" s="2" t="inlineStr">
        <x:is>
          <x:t xml:space="preserve">Château de Beaucastel</x:t>
        </x:is>
      </x:c>
      <x:c r="R118" s="3" t="n">
        <x:v>5</x:v>
      </x:c>
      <x:c r="S118" s="3" t="n">
        <x:v>28</x:v>
      </x:c>
      <x:c r="T118" s="3" t="n">
        <x:v>1</x:v>
      </x:c>
      <x:c r="U118" s="5" t="n">
        <x:v>3.57</x:v>
      </x:c>
      <x:c r="V118" s="5" t="n">
        <x:v>1587.80758556891767</x:v>
      </x:c>
      <x:c r="W118" s="3" t="n">
        <x:f>TRUE()</x:f>
        <x:v>1</x:v>
      </x:c>
    </x:row>
    <x:row r="119">
      <x:c r="A119" s="2" t="inlineStr">
        <x:is>
          <x:t xml:space="preserve">Last month</x:t>
        </x:is>
      </x:c>
      <x:c r="B119" s="2" t="inlineStr">
        <x:is>
          <x:t xml:space="preserve">01.10.25 00:00..31.10.25 23:59</x:t>
        </x:is>
      </x:c>
      <x:c r="C119" s="2" t="inlineStr">
        <x:is>
          <x:t xml:space="preserve">Campaign Sales Statistics is being updated.</x:t>
        </x:is>
      </x:c>
      <x:c r="D119" s="2" t="inlineStr">
        <x:is>
          <x:t xml:space="preserve">Campaign Sales Statistics updated at: 03.11.25 15:31</x:t>
        </x:is>
      </x:c>
      <x:c r="E119" s="2" t="inlineStr">
        <x:is>
          <x:t xml:space="preserve">CM-25-02646</x:t>
        </x:is>
      </x:c>
      <x:c r="F119" s="2" t="inlineStr">
        <x:is>
          <x:t xml:space="preserve">Comtes de Champagne 2014-(1/3)-bght comtes</x:t>
        </x:is>
      </x:c>
      <x:c r="G119" s="2" t="inlineStr">
        <x:is>
          <x:t xml:space="preserve">PRIVATE</x:t>
        </x:is>
      </x:c>
      <x:c r="H119" s="2" t="inlineStr">
        <x:is>
          <x:t xml:space="preserve">Normal</x:t>
        </x:is>
      </x:c>
      <x:c r="I119" s="3" t="n">
        <x:f>FALSE()</x:f>
        <x:v>0</x:v>
      </x:c>
      <x:c r="J119" s="4" t="n">
        <x:v>45933.39966643519</x:v>
      </x:c>
      <x:c r="K119" s="3" t="n">
        <x:v>3</x:v>
      </x:c>
      <x:c r="L119" s="2" t="inlineStr">
        <x:is>
          <x:t xml:space="preserve">3673</x:t>
        </x:is>
      </x:c>
      <x:c r="M119" s="2" t="inlineStr">
        <x:is>
          <x:t xml:space="preserve">Champagne Brut Comtes de Champagne Blanc de Blancs</x:t>
        </x:is>
      </x:c>
      <x:c r="N119" s="2" t="inlineStr">
        <x:is>
          <x:t xml:space="preserve">65733</x:t>
        </x:is>
      </x:c>
      <x:c r="O119" s="5" t="n">
        <x:v>125</x:v>
      </x:c>
      <x:c r="P119" s="2" t="inlineStr">
        <x:is>
          <x:t xml:space="preserve">2014</x:t>
        </x:is>
      </x:c>
      <x:c r="Q119" s="2" t="inlineStr">
        <x:is>
          <x:t xml:space="preserve">Taittinger Champagne</x:t>
        </x:is>
      </x:c>
      <x:c r="R119" s="3" t="n">
        <x:v>1</x:v>
      </x:c>
      <x:c r="S119" s="3" t="n">
        <x:v>1432</x:v>
      </x:c>
      <x:c r="T119" s="3" t="n">
        <x:v>22</x:v>
      </x:c>
      <x:c r="U119" s="5" t="n">
        <x:v>1.54</x:v>
      </x:c>
      <x:c r="V119" s="5" t="n">
        <x:v>35130.205586314496</x:v>
      </x:c>
      <x:c r="W119" s="3" t="n">
        <x:f>FALSE()</x:f>
        <x:v>0</x:v>
      </x:c>
    </x:row>
    <x:row r="120">
      <x:c r="A120" s="2" t="inlineStr">
        <x:is>
          <x:t xml:space="preserve">Last month</x:t>
        </x:is>
      </x:c>
      <x:c r="B120" s="2" t="inlineStr">
        <x:is>
          <x:t xml:space="preserve">01.10.25 00:00..31.10.25 23:59</x:t>
        </x:is>
      </x:c>
      <x:c r="C120" s="2" t="inlineStr">
        <x:is>
          <x:t xml:space="preserve">Campaign Sales Statistics is being updated.</x:t>
        </x:is>
      </x:c>
      <x:c r="D120" s="2" t="inlineStr">
        <x:is>
          <x:t xml:space="preserve">Campaign Sales Statistics updated at: 03.11.25 15:31</x:t>
        </x:is>
      </x:c>
      <x:c r="E120" s="2" t="inlineStr">
        <x:is>
          <x:t xml:space="preserve">CM-25-02634</x:t>
        </x:is>
      </x:c>
      <x:c r="F120" s="2" t="inlineStr">
        <x:is>
          <x:t xml:space="preserve">Pichon Longueville-(1/1)-CH clients only </x:t>
        </x:is>
      </x:c>
      <x:c r="G120" s="2" t="inlineStr">
        <x:is>
          <x:t xml:space="preserve">PRIVATE</x:t>
        </x:is>
      </x:c>
      <x:c r="H120" s="2" t="inlineStr">
        <x:is>
          <x:t xml:space="preserve">Normal</x:t>
        </x:is>
      </x:c>
      <x:c r="I120" s="3" t="n">
        <x:f>FALSE()</x:f>
        <x:v>0</x:v>
      </x:c>
      <x:c r="J120" s="4" t="n">
        <x:v>45932.64791666667</x:v>
      </x:c>
      <x:c r="K120" s="3" t="n">
        <x:v>1</x:v>
      </x:c>
      <x:c r="L120" s="2" t="inlineStr">
        <x:is>
          <x:t xml:space="preserve">6739</x:t>
        </x:is>
      </x:c>
      <x:c r="M120" s="2" t="inlineStr">
        <x:is>
          <x:t xml:space="preserve">Pichon Longueville Comtesse Lalande</x:t>
        </x:is>
      </x:c>
      <x:c r="N120" s="2" t="inlineStr">
        <x:is>
          <x:t xml:space="preserve">35039</x:t>
        </x:is>
      </x:c>
      <x:c r="O120" s="5" t="n">
        <x:v>165</x:v>
      </x:c>
      <x:c r="P120" s="2" t="inlineStr">
        <x:is>
          <x:t xml:space="preserve">2015</x:t>
        </x:is>
      </x:c>
      <x:c r="Q120" s="2" t="inlineStr">
        <x:is>
          <x:t xml:space="preserve">Château Pichon-Longueville Comtesse de Lalande</x:t>
        </x:is>
      </x:c>
      <x:c r="R120" s="3" t="n">
        <x:v>1</x:v>
      </x:c>
      <x:c r="S120" s="3" t="n">
        <x:v>1747</x:v>
      </x:c>
      <x:c r="T120" s="3" t="n">
        <x:v>10</x:v>
      </x:c>
      <x:c r="U120" s="5" t="n">
        <x:v>0.57</x:v>
      </x:c>
      <x:c r="V120" s="5" t="n">
        <x:v>19476.8025023356851</x:v>
      </x:c>
      <x:c r="W120" s="3" t="n">
        <x:f>FALSE()</x:f>
        <x:v>0</x:v>
      </x:c>
    </x:row>
    <x:row r="121">
      <x:c r="A121" s="2" t="inlineStr">
        <x:is>
          <x:t xml:space="preserve">Last month</x:t>
        </x:is>
      </x:c>
      <x:c r="B121" s="2" t="inlineStr">
        <x:is>
          <x:t xml:space="preserve">01.10.25 00:00..31.10.25 23:59</x:t>
        </x:is>
      </x:c>
      <x:c r="C121" s="2" t="inlineStr">
        <x:is>
          <x:t xml:space="preserve">Campaign Sales Statistics is being updated.</x:t>
        </x:is>
      </x:c>
      <x:c r="D121" s="2" t="inlineStr">
        <x:is>
          <x:t xml:space="preserve">Campaign Sales Statistics updated at: 03.11.25 15:31</x:t>
        </x:is>
      </x:c>
      <x:c r="E121" s="2" t="inlineStr">
        <x:is>
          <x:t xml:space="preserve">CM-25-02633</x:t>
        </x:is>
      </x:c>
      <x:c r="F121" s="2" t="inlineStr">
        <x:is>
          <x:t xml:space="preserve">La Fleur Pétrus-(1/3)-bght fleur petrus </x:t>
        </x:is>
      </x:c>
      <x:c r="G121" s="2" t="inlineStr">
        <x:is>
          <x:t xml:space="preserve">PRIVATE</x:t>
        </x:is>
      </x:c>
      <x:c r="H121" s="2" t="inlineStr">
        <x:is>
          <x:t xml:space="preserve">Normal</x:t>
        </x:is>
      </x:c>
      <x:c r="I121" s="3" t="n">
        <x:f>FALSE()</x:f>
        <x:v>0</x:v>
      </x:c>
      <x:c r="J121" s="4" t="n">
        <x:v>45932.60555555556</x:v>
      </x:c>
      <x:c r="K121" s="3" t="n">
        <x:v>3</x:v>
      </x:c>
      <x:c r="L121" s="2" t="inlineStr">
        <x:is>
          <x:t xml:space="preserve">1533</x:t>
        </x:is>
      </x:c>
      <x:c r="M121" s="2" t="inlineStr">
        <x:is>
          <x:t xml:space="preserve">La Fleur Pétrus</x:t>
        </x:is>
      </x:c>
      <x:c r="N121" s="2" t="inlineStr">
        <x:is>
          <x:t xml:space="preserve">49027</x:t>
        </x:is>
      </x:c>
      <x:c r="O121" s="5" t="n">
        <x:v>180</x:v>
      </x:c>
      <x:c r="P121" s="2" t="inlineStr">
        <x:is>
          <x:t xml:space="preserve">2018</x:t>
        </x:is>
      </x:c>
      <x:c r="Q121" s="2" t="inlineStr">
        <x:is>
          <x:t xml:space="preserve">Château La Fleur-Pétrus</x:t>
        </x:is>
      </x:c>
      <x:c r="R121" s="3" t="n">
        <x:v>1</x:v>
      </x:c>
      <x:c r="S121" s="3" t="n">
        <x:v>1427</x:v>
      </x:c>
      <x:c r="T121" s="3" t="n">
        <x:v>22</x:v>
      </x:c>
      <x:c r="U121" s="5" t="n">
        <x:v>1.54</x:v>
      </x:c>
      <x:c r="V121" s="5" t="n">
        <x:v>52836.5529641340016</x:v>
      </x:c>
      <x:c r="W121" s="3" t="n">
        <x:f>FALSE()</x:f>
        <x:v>0</x:v>
      </x:c>
    </x:row>
    <x:row r="122">
      <x:c r="A122" s="2" t="inlineStr">
        <x:is>
          <x:t xml:space="preserve">Last month</x:t>
        </x:is>
      </x:c>
      <x:c r="B122" s="2" t="inlineStr">
        <x:is>
          <x:t xml:space="preserve">01.10.25 00:00..31.10.25 23:59</x:t>
        </x:is>
      </x:c>
      <x:c r="C122" s="2" t="inlineStr">
        <x:is>
          <x:t xml:space="preserve">Campaign Sales Statistics is being updated.</x:t>
        </x:is>
      </x:c>
      <x:c r="D122" s="2" t="inlineStr">
        <x:is>
          <x:t xml:space="preserve">Campaign Sales Statistics updated at: 03.11.25 15:31</x:t>
        </x:is>
      </x:c>
      <x:c r="E122" s="2" t="inlineStr">
        <x:is>
          <x:t xml:space="preserve">CM-25-02630</x:t>
        </x:is>
      </x:c>
      <x:c r="F122" s="2" t="inlineStr">
        <x:is>
          <x:t xml:space="preserve">Colgin 2022-(1/2)-bght colgin 2021</x:t>
        </x:is>
      </x:c>
      <x:c r="G122" s="2" t="inlineStr">
        <x:is>
          <x:t xml:space="preserve">PRIVATE</x:t>
        </x:is>
      </x:c>
      <x:c r="H122" s="2" t="inlineStr">
        <x:is>
          <x:t xml:space="preserve">Normal</x:t>
        </x:is>
      </x:c>
      <x:c r="I122" s="3" t="n">
        <x:f>FALSE()</x:f>
        <x:v>0</x:v>
      </x:c>
      <x:c r="J122" s="4" t="n">
        <x:v>45932.48263888889</x:v>
      </x:c>
      <x:c r="K122" s="3" t="n">
        <x:v>7</x:v>
      </x:c>
      <x:c r="L122" s="2" t="inlineStr">
        <x:is>
          <x:t xml:space="preserve">30743</x:t>
        </x:is>
      </x:c>
      <x:c r="M122" s="2" t="inlineStr">
        <x:is>
          <x:t xml:space="preserve">IX Proprietary Red Estate</x:t>
        </x:is>
      </x:c>
      <x:c r="N122" s="2" t="inlineStr">
        <x:is>
          <x:t xml:space="preserve">63171</x:t>
        </x:is>
      </x:c>
      <x:c r="O122" s="5" t="n">
        <x:v>625</x:v>
      </x:c>
      <x:c r="P122" s="2" t="inlineStr">
        <x:is>
          <x:t xml:space="preserve">2022</x:t>
        </x:is>
      </x:c>
      <x:c r="Q122" s="2" t="inlineStr">
        <x:is>
          <x:t xml:space="preserve">Colgin Cellars</x:t>
        </x:is>
      </x:c>
      <x:c r="R122" s="3" t="n">
        <x:v>1</x:v>
      </x:c>
      <x:c r="S122" s="3" t="n">
        <x:v>1374</x:v>
      </x:c>
      <x:c r="T122" s="3" t="n">
        <x:v>34</x:v>
      </x:c>
      <x:c r="U122" s="5" t="n">
        <x:v>2.47</x:v>
      </x:c>
      <x:c r="V122" s="5" t="n">
        <x:v>126068.512178285262</x:v>
      </x:c>
      <x:c r="W122" s="3" t="n">
        <x:f>FALSE()</x:f>
        <x:v>0</x:v>
      </x:c>
    </x:row>
    <x:row r="123">
      <x:c r="A123" s="2" t="inlineStr">
        <x:is>
          <x:t xml:space="preserve">Last month</x:t>
        </x:is>
      </x:c>
      <x:c r="B123" s="2" t="inlineStr">
        <x:is>
          <x:t xml:space="preserve">01.10.25 00:00..31.10.25 23:59</x:t>
        </x:is>
      </x:c>
      <x:c r="C123" s="2" t="inlineStr">
        <x:is>
          <x:t xml:space="preserve">Campaign Sales Statistics is being updated.</x:t>
        </x:is>
      </x:c>
      <x:c r="D123" s="2" t="inlineStr">
        <x:is>
          <x:t xml:space="preserve">Campaign Sales Statistics updated at: 03.11.25 15:31</x:t>
        </x:is>
      </x:c>
      <x:c r="E123" s="2" t="inlineStr">
        <x:is>
          <x:t xml:space="preserve">CM-25-02628</x:t>
        </x:is>
      </x:c>
      <x:c r="F123" s="2" t="inlineStr">
        <x:is>
          <x:t xml:space="preserve">Château Grillet Blanc-(DD_1)-T-bght white&gt;200</x:t>
        </x:is>
      </x:c>
      <x:c r="G123" s="2" t="inlineStr">
        <x:is>
          <x:t xml:space="preserve">PRIVATE</x:t>
        </x:is>
      </x:c>
      <x:c r="H123" s="2" t="inlineStr">
        <x:is>
          <x:t xml:space="preserve">Normal</x:t>
        </x:is>
      </x:c>
      <x:c r="I123" s="3" t="n">
        <x:f>FALSE()</x:f>
        <x:v>0</x:v>
      </x:c>
      <x:c r="J123" s="4" t="n">
        <x:v>45932.43402777778</x:v>
      </x:c>
      <x:c r="K123" s="3" t="n">
        <x:v>1</x:v>
      </x:c>
      <x:c r="L123" s="2" t="inlineStr">
        <x:is>
          <x:t xml:space="preserve">10947</x:t>
        </x:is>
      </x:c>
      <x:c r="M123" s="2" t="inlineStr">
        <x:is>
          <x:t xml:space="preserve">Grillet Blanc</x:t>
        </x:is>
      </x:c>
      <x:c r="N123" s="2" t="inlineStr">
        <x:is>
          <x:t xml:space="preserve">62552</x:t>
        </x:is>
      </x:c>
      <x:c r="O123" s="5" t="n">
        <x:v>360</x:v>
      </x:c>
      <x:c r="P123" s="2" t="inlineStr">
        <x:is>
          <x:t xml:space="preserve">2019</x:t>
        </x:is>
      </x:c>
      <x:c r="Q123" s="2" t="inlineStr">
        <x:is>
          <x:t xml:space="preserve">Château Grillet</x:t>
        </x:is>
      </x:c>
      <x:c r="R123" s="3" t="n">
        <x:v>4</x:v>
      </x:c>
      <x:c r="S123" s="3" t="n">
        <x:v>197</x:v>
      </x:c>
      <x:c r="T123" s="3" t="n">
        <x:v>4</x:v>
      </x:c>
      <x:c r="U123" s="5" t="n">
        <x:v>2.03</x:v>
      </x:c>
      <x:c r="V123" s="5" t="n">
        <x:v>6699.75716928769657</x:v>
      </x:c>
      <x:c r="W123" s="3" t="n">
        <x:f>TRUE()</x:f>
        <x:v>1</x:v>
      </x:c>
    </x:row>
    <x:row r="124">
      <x:c r="A124" s="2" t="inlineStr">
        <x:is>
          <x:t xml:space="preserve">Last month</x:t>
        </x:is>
      </x:c>
      <x:c r="B124" s="2" t="inlineStr">
        <x:is>
          <x:t xml:space="preserve">01.10.25 00:00..31.10.25 23:59</x:t>
        </x:is>
      </x:c>
      <x:c r="C124" s="2" t="inlineStr">
        <x:is>
          <x:t xml:space="preserve">Campaign Sales Statistics is being updated.</x:t>
        </x:is>
      </x:c>
      <x:c r="D124" s="2" t="inlineStr">
        <x:is>
          <x:t xml:space="preserve">Campaign Sales Statistics updated at: 03.11.25 15:31</x:t>
        </x:is>
      </x:c>
      <x:c r="E124" s="2" t="inlineStr">
        <x:is>
          <x:t xml:space="preserve">CM-25-02629</x:t>
        </x:is>
      </x:c>
      <x:c r="F124" s="2" t="inlineStr">
        <x:is>
          <x:t xml:space="preserve">Lynch Bages 2009-0-bght BDX</x:t>
        </x:is>
      </x:c>
      <x:c r="G124" s="2" t="inlineStr">
        <x:is>
          <x:t xml:space="preserve">PRIVATE</x:t>
        </x:is>
      </x:c>
      <x:c r="H124" s="2" t="inlineStr">
        <x:is>
          <x:t xml:space="preserve">Normal</x:t>
        </x:is>
      </x:c>
      <x:c r="I124" s="3" t="n">
        <x:f>FALSE()</x:f>
        <x:v>0</x:v>
      </x:c>
      <x:c r="J124" s="4" t="n">
        <x:v>45931.72777777778</x:v>
      </x:c>
      <x:c r="K124" s="3" t="n">
        <x:v>1</x:v>
      </x:c>
      <x:c r="L124" s="2" t="inlineStr">
        <x:is>
          <x:t xml:space="preserve">1651</x:t>
        </x:is>
      </x:c>
      <x:c r="M124" s="2" t="inlineStr">
        <x:is>
          <x:t xml:space="preserve">Lynch Bages</x:t>
        </x:is>
      </x:c>
      <x:c r="N124" s="2" t="inlineStr">
        <x:is>
          <x:t xml:space="preserve">2314</x:t>
        </x:is>
      </x:c>
      <x:c r="O124" s="5" t="n">
        <x:v>170</x:v>
      </x:c>
      <x:c r="P124" s="2" t="inlineStr">
        <x:is>
          <x:t xml:space="preserve">2009</x:t>
        </x:is>
      </x:c>
      <x:c r="Q124" s="2" t="inlineStr">
        <x:is>
          <x:t xml:space="preserve">Château Lynch Bages</x:t>
        </x:is>
      </x:c>
      <x:c r="R124" s="3" t="n">
        <x:v>1</x:v>
      </x:c>
      <x:c r="S124" s="3" t="n">
        <x:v>2311</x:v>
      </x:c>
      <x:c r="T124" s="3" t="n">
        <x:v>37</x:v>
      </x:c>
      <x:c r="U124" s="5" t="n">
        <x:v>1.6</x:v>
      </x:c>
      <x:c r="V124" s="5" t="n">
        <x:v>101455.968374225082</x:v>
      </x:c>
      <x:c r="W124" s="3" t="n">
        <x:f>FALSE()</x:f>
        <x:v>0</x:v>
      </x:c>
    </x:row>
    <x:row r="125">
      <x:c r="A125" s="2" t="inlineStr">
        <x:is>
          <x:t xml:space="preserve">Last month</x:t>
        </x:is>
      </x:c>
      <x:c r="B125" s="2" t="inlineStr">
        <x:is>
          <x:t xml:space="preserve">01.10.25 00:00..31.10.25 23:59</x:t>
        </x:is>
      </x:c>
      <x:c r="C125" s="2" t="inlineStr">
        <x:is>
          <x:t xml:space="preserve">Campaign Sales Statistics is being updated.</x:t>
        </x:is>
      </x:c>
      <x:c r="D125" s="2" t="inlineStr">
        <x:is>
          <x:t xml:space="preserve">Campaign Sales Statistics updated at: 03.11.25 15:31</x:t>
        </x:is>
      </x:c>
      <x:c r="E125" s="2" t="inlineStr">
        <x:is>
          <x:t xml:space="preserve">CM-25-02624</x:t>
        </x:is>
      </x:c>
      <x:c r="F125" s="2" t="inlineStr">
        <x:is>
          <x:t xml:space="preserve">Tignanello 2022-(1/2)-bght Tignanello not 2022</x:t>
        </x:is>
      </x:c>
      <x:c r="G125" s="2" t="inlineStr">
        <x:is>
          <x:t xml:space="preserve">PRIVATE</x:t>
        </x:is>
      </x:c>
      <x:c r="H125" s="2" t="inlineStr">
        <x:is>
          <x:t xml:space="preserve">Normal</x:t>
        </x:is>
      </x:c>
      <x:c r="I125" s="3" t="n">
        <x:f>FALSE()</x:f>
        <x:v>0</x:v>
      </x:c>
      <x:c r="J125" s="4" t="n">
        <x:v>45931.50208333333</x:v>
      </x:c>
      <x:c r="K125" s="3" t="n">
        <x:v>2</x:v>
      </x:c>
      <x:c r="L125" s="2" t="inlineStr">
        <x:is>
          <x:t xml:space="preserve">2463</x:t>
        </x:is>
      </x:c>
      <x:c r="M125" s="2" t="inlineStr">
        <x:is>
          <x:t xml:space="preserve">Tignanello</x:t>
        </x:is>
      </x:c>
      <x:c r="N125" s="2" t="inlineStr">
        <x:is>
          <x:t xml:space="preserve">63038</x:t>
        </x:is>
      </x:c>
      <x:c r="O125" s="5" t="n">
        <x:v>120</x:v>
      </x:c>
      <x:c r="P125" s="2" t="inlineStr">
        <x:is>
          <x:t xml:space="preserve">2022</x:t>
        </x:is>
      </x:c>
      <x:c r="Q125" s="2" t="inlineStr">
        <x:is>
          <x:t xml:space="preserve">Antinori - Tenuta Tignanello</x:t>
        </x:is>
      </x:c>
      <x:c r="R125" s="3" t="n">
        <x:v>1</x:v>
      </x:c>
      <x:c r="S125" s="3" t="n">
        <x:v>1907</x:v>
      </x:c>
      <x:c r="T125" s="3" t="n">
        <x:v>20</x:v>
      </x:c>
      <x:c r="U125" s="5" t="n">
        <x:v>1.05</x:v>
      </x:c>
      <x:c r="V125" s="5" t="n">
        <x:v>24179.7529819450389</x:v>
      </x:c>
      <x:c r="W125" s="3" t="n">
        <x:f>FALSE()</x:f>
        <x:v>0</x:v>
      </x:c>
    </x:row>
    <x:row r="126">
      <x:c r="A126" s="2" t="inlineStr">
        <x:is>
          <x:t xml:space="preserve">Last month</x:t>
        </x:is>
      </x:c>
      <x:c r="B126" s="2" t="inlineStr">
        <x:is>
          <x:t xml:space="preserve">01.10.25 00:00..31.10.25 23:59</x:t>
        </x:is>
      </x:c>
      <x:c r="C126" s="2" t="inlineStr">
        <x:is>
          <x:t xml:space="preserve">Campaign Sales Statistics is being updated.</x:t>
        </x:is>
      </x:c>
      <x:c r="D126" s="2" t="inlineStr">
        <x:is>
          <x:t xml:space="preserve">Campaign Sales Statistics updated at: 03.11.25 15:31</x:t>
        </x:is>
      </x:c>
      <x:c r="E126" s="2" t="inlineStr">
        <x:is>
          <x:t xml:space="preserve">CM-25-02625</x:t>
        </x:is>
      </x:c>
      <x:c r="F126" s="2" t="inlineStr">
        <x:is>
          <x:t xml:space="preserve">Comando_G-(DD_1)-bght Spain &amp; bght&gt;1K-Count sort</x:t>
        </x:is>
      </x:c>
      <x:c r="G126" s="2" t="inlineStr">
        <x:is>
          <x:t xml:space="preserve">PRIVATE</x:t>
        </x:is>
      </x:c>
      <x:c r="H126" s="2" t="inlineStr">
        <x:is>
          <x:t xml:space="preserve">Normal</x:t>
        </x:is>
      </x:c>
      <x:c r="I126" s="3" t="n">
        <x:f>FALSE()</x:f>
        <x:v>0</x:v>
      </x:c>
      <x:c r="J126" s="4" t="n">
        <x:v>45931.493055555555</x:v>
      </x:c>
      <x:c r="K126" s="3" t="n">
        <x:v>1</x:v>
      </x:c>
      <x:c r="L126" s="2" t="inlineStr">
        <x:is>
          <x:t xml:space="preserve">11203</x:t>
        </x:is>
      </x:c>
      <x:c r="M126" s="2" t="inlineStr">
        <x:is>
          <x:t xml:space="preserve">El Tamboril Blanco</x:t>
        </x:is>
      </x:c>
      <x:c r="N126" s="2" t="inlineStr">
        <x:is>
          <x:t xml:space="preserve">65647</x:t>
        </x:is>
      </x:c>
      <x:c r="O126" s="5" t="n">
        <x:v>476</x:v>
      </x:c>
      <x:c r="P126" s="2" t="inlineStr">
        <x:is>
          <x:t xml:space="preserve">2016</x:t>
        </x:is>
      </x:c>
      <x:c r="Q126" s="2" t="inlineStr">
        <x:is>
          <x:t xml:space="preserve">Bodega Comando G</x:t>
        </x:is>
      </x:c>
      <x:c r="R126" s="3" t="n">
        <x:v>12</x:v>
      </x:c>
      <x:c r="S126" s="3" t="n">
        <x:v>170</x:v>
      </x:c>
      <x:c r="T126" s="3" t="n">
        <x:v>8</x:v>
      </x:c>
      <x:c r="U126" s="5" t="n">
        <x:v>4.71</x:v>
      </x:c>
      <x:c r="V126" s="5" t="n">
        <x:v>38704.4426734505088</x:v>
      </x:c>
      <x:c r="W126" s="3" t="n">
        <x:f>TRUE()</x:f>
        <x:v>1</x:v>
      </x:c>
    </x:row>
    <x:row r="127">
      <x:c r="A127" s="2" t="inlineStr">
        <x:is>
          <x:t xml:space="preserve">Last month</x:t>
        </x:is>
      </x:c>
      <x:c r="B127" s="2" t="inlineStr">
        <x:is>
          <x:t xml:space="preserve">01.10.25 00:00..31.10.25 23:59</x:t>
        </x:is>
      </x:c>
      <x:c r="C127" s="2" t="inlineStr">
        <x:is>
          <x:t xml:space="preserve">Campaign Sales Statistics is being updated.</x:t>
        </x:is>
      </x:c>
      <x:c r="D127" s="2" t="inlineStr">
        <x:is>
          <x:t xml:space="preserve">Campaign Sales Statistics updated at: 03.11.25 15:31</x:t>
        </x:is>
      </x:c>
      <x:c r="E127" s="2" t="inlineStr">
        <x:is>
          <x:t xml:space="preserve">CM-25-02621</x:t>
        </x:is>
      </x:c>
      <x:c r="F127" s="2" t="inlineStr">
        <x:is>
          <x:t xml:space="preserve">Catch up-(1/2)-not bght in 2025 contact non-US</x:t>
        </x:is>
      </x:c>
      <x:c r="G127" s="2" t="inlineStr">
        <x:is>
          <x:t xml:space="preserve">PRIVATE</x:t>
        </x:is>
      </x:c>
      <x:c r="H127" s="2" t="inlineStr">
        <x:is>
          <x:t xml:space="preserve">Normal</x:t>
        </x:is>
      </x:c>
      <x:c r="I127" s="3" t="n">
        <x:f>TRUE()</x:f>
        <x:v>1</x:v>
      </x:c>
      <x:c r="J127" s="4" t="n">
        <x:v>45931.349702430554</x:v>
      </x:c>
      <x:c r="K127" s="3" t="n">
        <x:v>2</x:v>
      </x:c>
      <x:c r="L127" s="2" t="inlineStr">
        <x:is>
          <x:t xml:space="preserve"/>
        </x:is>
      </x:c>
      <x:c r="M127" s="2" t="inlineStr">
        <x:is>
          <x:t xml:space="preserve"/>
        </x:is>
      </x:c>
      <x:c r="N127" s="2" t="inlineStr">
        <x:is>
          <x:t xml:space="preserve"/>
        </x:is>
      </x:c>
      <x:c r="O127" s="5" t="n">
        <x:v>0</x:v>
      </x:c>
      <x:c r="P127" s="2" t="inlineStr">
        <x:is>
          <x:t xml:space="preserve"/>
        </x:is>
      </x:c>
      <x:c r="Q127" s="2" t="inlineStr">
        <x:is>
          <x:t xml:space="preserve"/>
        </x:is>
      </x:c>
      <x:c r="R127" s="3" t="n">
        <x:v>0</x:v>
      </x:c>
      <x:c r="S127" s="3" t="n">
        <x:v>1584</x:v>
      </x:c>
      <x:c r="T127" s="3" t="n">
        <x:v>0</x:v>
      </x:c>
      <x:c r="U127" s="5" t="n">
        <x:v>0</x:v>
      </x:c>
      <x:c r="V127" s="5" t="n">
        <x:v>0</x:v>
      </x:c>
      <x:c r="W127" s="3" t="n">
        <x:f>FALSE()</x:f>
        <x:v>0</x:v>
      </x:c>
    </x:row>
    <x:row r="128">
      <x:c r="A128" s="2" t="inlineStr">
        <x:is>
          <x:t xml:space="preserve">Last month</x:t>
        </x:is>
      </x:c>
      <x:c r="B128" s="2" t="inlineStr">
        <x:is>
          <x:t xml:space="preserve">01.10.25 00:00..31.10.25 23:59</x:t>
        </x:is>
      </x:c>
      <x:c r="C128" s="2" t="inlineStr">
        <x:is>
          <x:t xml:space="preserve">Campaign Sales Statistics is being updated.</x:t>
        </x:is>
      </x:c>
      <x:c r="D128" s="2" t="inlineStr">
        <x:is>
          <x:t xml:space="preserve">Campaign Sales Statistics updated at: 03.11.25 15:31</x:t>
        </x:is>
      </x:c>
      <x:c r="E128" s="2" t="inlineStr">
        <x:is>
          <x:t xml:space="preserve">CM-25-02582</x:t>
        </x:is>
      </x:c>
      <x:c r="F128" s="2" t="inlineStr">
        <x:is>
          <x:t xml:space="preserve">Dom Pérignon-(1/3)-BIG Format-bght dom perignon</x:t>
        </x:is>
      </x:c>
      <x:c r="G128" s="2" t="inlineStr">
        <x:is>
          <x:t xml:space="preserve">PRIVATE</x:t>
        </x:is>
      </x:c>
      <x:c r="H128" s="2" t="inlineStr">
        <x:is>
          <x:t xml:space="preserve">Normal</x:t>
        </x:is>
      </x:c>
      <x:c r="I128" s="3" t="n">
        <x:f>TRUE()</x:f>
        <x:v>1</x:v>
      </x:c>
      <x:c r="J128" s="4" t="n">
        <x:v>45931</x:v>
      </x:c>
      <x:c r="K128" s="3" t="n">
        <x:v>3</x:v>
      </x:c>
      <x:c r="L128" s="2" t="inlineStr">
        <x:is>
          <x:t xml:space="preserve">2865</x:t>
        </x:is>
      </x:c>
      <x:c r="M128" s="2" t="inlineStr">
        <x:is>
          <x:t xml:space="preserve">Champagne Brut Dom Pérignon</x:t>
        </x:is>
      </x:c>
      <x:c r="N128" s="2" t="inlineStr">
        <x:is>
          <x:t xml:space="preserve">63033</x:t>
        </x:is>
      </x:c>
      <x:c r="O128" s="5" t="n">
        <x:v>515</x:v>
      </x:c>
      <x:c r="P128" s="2" t="inlineStr">
        <x:is>
          <x:t xml:space="preserve">2013</x:t>
        </x:is>
      </x:c>
      <x:c r="Q128" s="2" t="inlineStr">
        <x:is>
          <x:t xml:space="preserve">Dom Pérignon</x:t>
        </x:is>
      </x:c>
      <x:c r="R128" s="3" t="n">
        <x:v>1</x:v>
      </x:c>
      <x:c r="S128" s="3" t="n">
        <x:v>2102</x:v>
      </x:c>
      <x:c r="T128" s="3" t="n">
        <x:v>15</x:v>
      </x:c>
      <x:c r="U128" s="5" t="n">
        <x:v>0.71</x:v>
      </x:c>
      <x:c r="V128" s="5" t="n">
        <x:v>32577.850362433899</x:v>
      </x:c>
      <x:c r="W128" s="3" t="n">
        <x:f>FALSE()</x:f>
        <x:v>0</x:v>
      </x:c>
    </x:row>
  </x:sheetData>
  <x:tableParts count="1">
    <x:tablePart r:id="rTableId1Update"/>
  </x:tableParts>
</x:worksheet>
</file>